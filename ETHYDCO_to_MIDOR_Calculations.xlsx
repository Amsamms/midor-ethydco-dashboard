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l% to wt% Conversions" sheetId="1" state="visible" r:id="rId1"/>
    <sheet xmlns:r="http://schemas.openxmlformats.org/officeDocument/2006/relationships" name="Heat Content Calculations" sheetId="2" state="visible" r:id="rId2"/>
    <sheet xmlns:r="http://schemas.openxmlformats.org/officeDocument/2006/relationships" name="1. ETHYDCO INPUT DATA" sheetId="3" state="visible" r:id="rId3"/>
    <sheet xmlns:r="http://schemas.openxmlformats.org/officeDocument/2006/relationships" name="2. H2 Offgas Recovery" sheetId="4" state="visible" r:id="rId4"/>
    <sheet xmlns:r="http://schemas.openxmlformats.org/officeDocument/2006/relationships" name="3. Methane Offgas" sheetId="5" state="visible" r:id="rId5"/>
    <sheet xmlns:r="http://schemas.openxmlformats.org/officeDocument/2006/relationships" name="4. C3 Stream Recovery" sheetId="6" state="visible" r:id="rId6"/>
    <sheet xmlns:r="http://schemas.openxmlformats.org/officeDocument/2006/relationships" name="5. C4 Stream Recovery" sheetId="7" state="visible" r:id="rId7"/>
    <sheet xmlns:r="http://schemas.openxmlformats.org/officeDocument/2006/relationships" name="6. Pyrolysis Gasoline" sheetId="8" state="visible" r:id="rId8"/>
    <sheet xmlns:r="http://schemas.openxmlformats.org/officeDocument/2006/relationships" name="7. CO2 Utilization" sheetId="9" state="visible" r:id="rId9"/>
    <sheet xmlns:r="http://schemas.openxmlformats.org/officeDocument/2006/relationships" name="10. NG Makeup Cost" sheetId="10" state="visible" r:id="rId10"/>
    <sheet xmlns:r="http://schemas.openxmlformats.org/officeDocument/2006/relationships" name="11. Final Summ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0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0000"/>
    </font>
    <font>
      <b val="1"/>
      <i val="1"/>
    </font>
    <font>
      <b val="1"/>
      <color rgb="00FFFFFF"/>
      <sz val="12"/>
    </font>
    <font>
      <b val="1"/>
      <sz val="16"/>
    </font>
    <font>
      <b val="1"/>
      <i val="1"/>
      <sz val="12"/>
    </font>
    <font>
      <b val="1"/>
      <sz val="12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d4e6f1"/>
        <bgColor rgb="00d4e6f1"/>
      </patternFill>
    </fill>
    <fill>
      <patternFill patternType="solid">
        <fgColor rgb="00fef9e7"/>
        <bgColor rgb="00fef9e7"/>
      </patternFill>
    </fill>
    <fill>
      <patternFill patternType="solid">
        <fgColor rgb="0027ae60"/>
        <bgColor rgb="0027ae60"/>
      </patternFill>
    </fill>
    <fill>
      <patternFill patternType="solid">
        <fgColor rgb="002980b9"/>
        <bgColor rgb="002980b9"/>
      </patternFill>
    </fill>
    <fill>
      <patternFill patternType="solid">
        <fgColor rgb="00f1c40f"/>
        <bgColor rgb="00f1c40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2" fillId="0" borderId="1" pivotButton="0" quotePrefix="0" xfId="0"/>
    <xf numFmtId="0" fontId="0" fillId="0" borderId="1" pivotButton="0" quotePrefix="0" xfId="0"/>
    <xf numFmtId="0" fontId="2" fillId="3" borderId="1" pivotButton="0" quotePrefix="0" xfId="0"/>
    <xf numFmtId="3" fontId="0" fillId="0" borderId="1" pivotButton="0" quotePrefix="0" xfId="0"/>
    <xf numFmtId="164" fontId="0" fillId="0" borderId="1" pivotButton="0" quotePrefix="0" xfId="0"/>
    <xf numFmtId="0" fontId="2" fillId="4" borderId="1" pivotButton="0" quotePrefix="0" xfId="0"/>
    <xf numFmtId="3" fontId="2" fillId="4" borderId="1" pivotButton="0" quotePrefix="0" xfId="0"/>
    <xf numFmtId="164" fontId="2" fillId="4" borderId="1" pivotButton="0" quotePrefix="0" xfId="0"/>
    <xf numFmtId="0" fontId="6" fillId="0" borderId="0" pivotButton="0" quotePrefix="0" xfId="0"/>
    <xf numFmtId="0" fontId="7" fillId="0" borderId="0" pivotButton="0" quotePrefix="0" xfId="0"/>
    <xf numFmtId="0" fontId="2" fillId="5" borderId="1" pivotButton="0" quotePrefix="0" xfId="0"/>
    <xf numFmtId="164" fontId="2" fillId="5" borderId="1" pivotButton="0" quotePrefix="0" xfId="0"/>
    <xf numFmtId="0" fontId="5" fillId="6" borderId="0" pivotButton="0" quotePrefix="0" xfId="0"/>
    <xf numFmtId="0" fontId="9" fillId="5" borderId="1" pivotButton="0" quotePrefix="0" xfId="0"/>
    <xf numFmtId="164" fontId="9" fillId="5" borderId="1" pivotButton="0" quotePrefix="0" xfId="0"/>
    <xf numFmtId="0" fontId="2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MOLECULAR WEIGHT DATABASE FOR mol% TO wt% CONVERSION</t>
        </is>
      </c>
    </row>
    <row r="3">
      <c r="A3" s="2" t="inlineStr">
        <is>
          <t>Component</t>
        </is>
      </c>
      <c r="B3" s="2" t="inlineStr">
        <is>
          <t>Formula</t>
        </is>
      </c>
      <c r="C3" s="2" t="inlineStr">
        <is>
          <t>Molecular Weight (g/mol)</t>
        </is>
      </c>
      <c r="D3" s="2" t="inlineStr">
        <is>
          <t>LHV (BTU/lb)</t>
        </is>
      </c>
      <c r="E3" s="2" t="inlineStr">
        <is>
          <t>LHV (MJ/kg)</t>
        </is>
      </c>
    </row>
    <row r="4">
      <c r="A4" t="inlineStr">
        <is>
          <t>Hydrogen</t>
        </is>
      </c>
      <c r="B4" t="inlineStr">
        <is>
          <t>H2</t>
        </is>
      </c>
      <c r="C4" t="n">
        <v>2.016</v>
      </c>
      <c r="D4" t="n">
        <v>51571</v>
      </c>
      <c r="E4" t="n">
        <v>120</v>
      </c>
    </row>
    <row r="5">
      <c r="A5" t="inlineStr">
        <is>
          <t>Methane</t>
        </is>
      </c>
      <c r="B5" t="inlineStr">
        <is>
          <t>CH4</t>
        </is>
      </c>
      <c r="C5" t="n">
        <v>16.043</v>
      </c>
      <c r="D5" t="n">
        <v>21502</v>
      </c>
      <c r="E5" t="n">
        <v>50</v>
      </c>
    </row>
    <row r="6">
      <c r="A6" t="inlineStr">
        <is>
          <t>Ethane</t>
        </is>
      </c>
      <c r="B6" t="inlineStr">
        <is>
          <t>C2H6</t>
        </is>
      </c>
      <c r="C6" t="n">
        <v>30.07</v>
      </c>
      <c r="D6" t="n">
        <v>20416</v>
      </c>
      <c r="E6" t="n">
        <v>47.5</v>
      </c>
    </row>
    <row r="7">
      <c r="A7" t="inlineStr">
        <is>
          <t>Ethylene</t>
        </is>
      </c>
      <c r="B7" t="inlineStr">
        <is>
          <t>C2H4</t>
        </is>
      </c>
      <c r="C7" t="n">
        <v>28.054</v>
      </c>
      <c r="D7" t="n">
        <v>20275</v>
      </c>
      <c r="E7" t="n">
        <v>47.2</v>
      </c>
    </row>
    <row r="8">
      <c r="A8" t="inlineStr">
        <is>
          <t>Propane</t>
        </is>
      </c>
      <c r="B8" t="inlineStr">
        <is>
          <t>C3H8</t>
        </is>
      </c>
      <c r="C8" t="n">
        <v>44.096</v>
      </c>
      <c r="D8" t="n">
        <v>19922</v>
      </c>
      <c r="E8" t="n">
        <v>46.4</v>
      </c>
    </row>
    <row r="9">
      <c r="A9" t="inlineStr">
        <is>
          <t>Propylene</t>
        </is>
      </c>
      <c r="B9" t="inlineStr">
        <is>
          <t>C3H6</t>
        </is>
      </c>
      <c r="C9" t="n">
        <v>42.08</v>
      </c>
      <c r="D9" t="n">
        <v>19687</v>
      </c>
      <c r="E9" t="n">
        <v>45.8</v>
      </c>
    </row>
    <row r="10">
      <c r="A10" t="inlineStr">
        <is>
          <t>n-Butane</t>
        </is>
      </c>
      <c r="B10" t="inlineStr">
        <is>
          <t>nC4H10</t>
        </is>
      </c>
      <c r="C10" t="n">
        <v>58.122</v>
      </c>
      <c r="D10" t="n">
        <v>19665</v>
      </c>
      <c r="E10" t="n">
        <v>45.8</v>
      </c>
    </row>
    <row r="11">
      <c r="A11" t="inlineStr">
        <is>
          <t>Isobutane</t>
        </is>
      </c>
      <c r="B11" t="inlineStr">
        <is>
          <t>iC4H10</t>
        </is>
      </c>
      <c r="C11" t="n">
        <v>58.122</v>
      </c>
      <c r="D11" t="n">
        <v>19614</v>
      </c>
      <c r="E11" t="n">
        <v>45.7</v>
      </c>
    </row>
    <row r="12">
      <c r="A12" t="inlineStr">
        <is>
          <t>1-Butene</t>
        </is>
      </c>
      <c r="B12" t="inlineStr">
        <is>
          <t>C4H8</t>
        </is>
      </c>
      <c r="C12" t="n">
        <v>56.106</v>
      </c>
      <c r="D12" t="n">
        <v>19420</v>
      </c>
      <c r="E12" t="n">
        <v>45.2</v>
      </c>
    </row>
    <row r="13">
      <c r="A13" t="inlineStr">
        <is>
          <t>2-Butene</t>
        </is>
      </c>
      <c r="B13" t="inlineStr">
        <is>
          <t>C4H8</t>
        </is>
      </c>
      <c r="C13" t="n">
        <v>56.106</v>
      </c>
      <c r="D13" t="n">
        <v>19380</v>
      </c>
      <c r="E13" t="n">
        <v>45.1</v>
      </c>
    </row>
    <row r="14">
      <c r="A14" t="inlineStr">
        <is>
          <t>n-Pentane</t>
        </is>
      </c>
      <c r="B14" t="inlineStr">
        <is>
          <t>nC5H12</t>
        </is>
      </c>
      <c r="C14" t="n">
        <v>72.15000000000001</v>
      </c>
      <c r="D14" t="n">
        <v>19497</v>
      </c>
      <c r="E14" t="n">
        <v>45.4</v>
      </c>
    </row>
    <row r="15">
      <c r="A15" t="inlineStr">
        <is>
          <t>Isopentane</t>
        </is>
      </c>
      <c r="B15" t="inlineStr">
        <is>
          <t>iC5H12</t>
        </is>
      </c>
      <c r="C15" t="n">
        <v>72.15000000000001</v>
      </c>
      <c r="D15" t="n">
        <v>19456</v>
      </c>
      <c r="E15" t="n">
        <v>45.3</v>
      </c>
    </row>
    <row r="16">
      <c r="A16" t="inlineStr">
        <is>
          <t>n-Hexane</t>
        </is>
      </c>
      <c r="B16" t="inlineStr">
        <is>
          <t>C6H14</t>
        </is>
      </c>
      <c r="C16" t="n">
        <v>86.17700000000001</v>
      </c>
      <c r="D16" t="n">
        <v>19393</v>
      </c>
      <c r="E16" t="n">
        <v>45.1</v>
      </c>
    </row>
    <row r="17">
      <c r="A17" t="inlineStr">
        <is>
          <t>Carbon Monoxide</t>
        </is>
      </c>
      <c r="B17" t="inlineStr">
        <is>
          <t>CO</t>
        </is>
      </c>
      <c r="C17" t="n">
        <v>28.01</v>
      </c>
      <c r="D17" t="n">
        <v>4347</v>
      </c>
      <c r="E17" t="n">
        <v>10.1</v>
      </c>
    </row>
    <row r="18">
      <c r="A18" t="inlineStr">
        <is>
          <t>Carbon Dioxide</t>
        </is>
      </c>
      <c r="B18" t="inlineStr">
        <is>
          <t>CO2</t>
        </is>
      </c>
      <c r="C18" t="n">
        <v>44.01</v>
      </c>
      <c r="D18" t="n">
        <v>0</v>
      </c>
      <c r="E18" t="n">
        <v>0</v>
      </c>
    </row>
    <row r="19">
      <c r="A19" t="inlineStr">
        <is>
          <t>Nitrogen</t>
        </is>
      </c>
      <c r="B19" t="inlineStr">
        <is>
          <t>N2</t>
        </is>
      </c>
      <c r="C19" t="n">
        <v>28.014</v>
      </c>
      <c r="D19" t="n">
        <v>0</v>
      </c>
      <c r="E19" t="n">
        <v>0</v>
      </c>
    </row>
    <row r="20">
      <c r="A20" t="inlineStr">
        <is>
          <t>Oxygen</t>
        </is>
      </c>
      <c r="B20" t="inlineStr">
        <is>
          <t>O2</t>
        </is>
      </c>
      <c r="C20" t="n">
        <v>32</v>
      </c>
      <c r="D20" t="n">
        <v>0</v>
      </c>
      <c r="E20" t="n">
        <v>0</v>
      </c>
    </row>
    <row r="21">
      <c r="A21" t="inlineStr">
        <is>
          <t>Water/Steam</t>
        </is>
      </c>
      <c r="B21" t="inlineStr">
        <is>
          <t>H2O</t>
        </is>
      </c>
      <c r="C21" t="n">
        <v>18.015</v>
      </c>
      <c r="D21" t="n">
        <v>0</v>
      </c>
      <c r="E21" t="n">
        <v>0</v>
      </c>
    </row>
    <row r="22">
      <c r="A22" t="inlineStr">
        <is>
          <t>Hydrogen Sulfide</t>
        </is>
      </c>
      <c r="B22" t="inlineStr">
        <is>
          <t>H2S</t>
        </is>
      </c>
      <c r="C22" t="n">
        <v>34.082</v>
      </c>
      <c r="D22" t="n">
        <v>6545</v>
      </c>
      <c r="E22" t="n">
        <v>15.2</v>
      </c>
    </row>
    <row r="23">
      <c r="A23" t="inlineStr">
        <is>
          <t>Propyne (Methylacetylene)</t>
        </is>
      </c>
      <c r="B23" t="inlineStr">
        <is>
          <t>C3H4</t>
        </is>
      </c>
      <c r="C23" t="n">
        <v>40.064</v>
      </c>
      <c r="D23" t="n">
        <v>19200</v>
      </c>
      <c r="E23" t="n">
        <v>44.7</v>
      </c>
    </row>
    <row r="24">
      <c r="A24" t="inlineStr">
        <is>
          <t>1,3-Butadiene</t>
        </is>
      </c>
      <c r="B24" t="inlineStr">
        <is>
          <t>C4H6</t>
        </is>
      </c>
      <c r="C24" t="n">
        <v>54.09</v>
      </c>
      <c r="D24" t="n">
        <v>19100</v>
      </c>
      <c r="E24" t="n">
        <v>44.5</v>
      </c>
    </row>
    <row r="25">
      <c r="A25" t="inlineStr">
        <is>
          <t>Styrene</t>
        </is>
      </c>
      <c r="B25" t="inlineStr">
        <is>
          <t>C8H8</t>
        </is>
      </c>
      <c r="C25" t="n">
        <v>104.15</v>
      </c>
      <c r="D25" t="n">
        <v>17420</v>
      </c>
      <c r="E25" t="n">
        <v>40.5</v>
      </c>
    </row>
    <row r="26">
      <c r="A26" t="inlineStr">
        <is>
          <t>Toluene</t>
        </is>
      </c>
      <c r="B26" t="inlineStr">
        <is>
          <t>C7H8</t>
        </is>
      </c>
      <c r="C26" t="n">
        <v>92.14</v>
      </c>
      <c r="D26" t="n">
        <v>17672</v>
      </c>
      <c r="E26" t="n">
        <v>41.1</v>
      </c>
    </row>
    <row r="27">
      <c r="A27" t="inlineStr">
        <is>
          <t>Benzene</t>
        </is>
      </c>
      <c r="B27" t="inlineStr">
        <is>
          <t>C6H6</t>
        </is>
      </c>
      <c r="C27" t="n">
        <v>78.113</v>
      </c>
      <c r="D27" t="n">
        <v>17259</v>
      </c>
      <c r="E27" t="n">
        <v>40.2</v>
      </c>
    </row>
    <row r="30">
      <c r="A30" s="2" t="inlineStr">
        <is>
          <t>CONVERSION FORMULA:</t>
        </is>
      </c>
    </row>
    <row r="31">
      <c r="A31" t="inlineStr">
        <is>
          <t>wt% = (mol% × MW) / Σ(mol% × MW) × 100</t>
        </is>
      </c>
    </row>
    <row r="33">
      <c r="A33" t="inlineStr">
        <is>
          <t>Where MW = Molecular Weight of each component</t>
        </is>
      </c>
    </row>
    <row r="34">
      <c r="A34" t="inlineStr">
        <is>
          <t>Sum is over all components in the mixture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HEAT CONTENT (LHV) CALCULATIONS</t>
        </is>
      </c>
    </row>
    <row r="3">
      <c r="A3" s="2" t="inlineStr">
        <is>
          <t>Lower Heating Values (LHV) Reference Data</t>
        </is>
      </c>
    </row>
    <row r="5">
      <c r="A5" s="2" t="inlineStr">
        <is>
          <t>Component</t>
        </is>
      </c>
      <c r="B5" s="2" t="inlineStr">
        <is>
          <t>LHV (BTU/SCF)</t>
        </is>
      </c>
      <c r="C5" s="2" t="inlineStr">
        <is>
          <t>LHV (BTU/lb)</t>
        </is>
      </c>
      <c r="D5" s="2" t="inlineStr">
        <is>
          <t>LHV (MJ/kg)</t>
        </is>
      </c>
      <c r="E5" s="2" t="inlineStr">
        <is>
          <t>LHV (MJ/Nm3)</t>
        </is>
      </c>
    </row>
    <row r="6">
      <c r="A6" t="inlineStr">
        <is>
          <t>Hydrogen</t>
        </is>
      </c>
      <c r="B6" t="n">
        <v>275</v>
      </c>
      <c r="C6" t="n">
        <v>51571</v>
      </c>
      <c r="D6" t="n">
        <v>120</v>
      </c>
      <c r="E6" t="n">
        <v>10.8</v>
      </c>
    </row>
    <row r="7">
      <c r="A7" t="inlineStr">
        <is>
          <t>Methane</t>
        </is>
      </c>
      <c r="B7" t="n">
        <v>912</v>
      </c>
      <c r="C7" t="n">
        <v>21502</v>
      </c>
      <c r="D7" t="n">
        <v>50</v>
      </c>
      <c r="E7" t="n">
        <v>35.9</v>
      </c>
    </row>
    <row r="8">
      <c r="A8" t="inlineStr">
        <is>
          <t>Ethane</t>
        </is>
      </c>
      <c r="B8" t="n">
        <v>1622</v>
      </c>
      <c r="C8" t="n">
        <v>20416</v>
      </c>
      <c r="D8" t="n">
        <v>47.5</v>
      </c>
      <c r="E8" t="n">
        <v>64.40000000000001</v>
      </c>
    </row>
    <row r="9">
      <c r="A9" t="inlineStr">
        <is>
          <t>Ethylene</t>
        </is>
      </c>
      <c r="B9" t="n">
        <v>1512</v>
      </c>
      <c r="C9" t="n">
        <v>20275</v>
      </c>
      <c r="D9" t="n">
        <v>47.2</v>
      </c>
      <c r="E9" t="n">
        <v>59.5</v>
      </c>
    </row>
    <row r="10">
      <c r="A10" t="inlineStr">
        <is>
          <t>Propane</t>
        </is>
      </c>
      <c r="B10" t="n">
        <v>2314</v>
      </c>
      <c r="C10" t="n">
        <v>19922</v>
      </c>
      <c r="D10" t="n">
        <v>46.4</v>
      </c>
      <c r="E10" t="n">
        <v>93.2</v>
      </c>
    </row>
    <row r="11">
      <c r="A11" t="inlineStr">
        <is>
          <t>Propylene</t>
        </is>
      </c>
      <c r="B11" t="n">
        <v>2181</v>
      </c>
      <c r="C11" t="n">
        <v>19687</v>
      </c>
      <c r="D11" t="n">
        <v>45.8</v>
      </c>
      <c r="E11" t="n">
        <v>87</v>
      </c>
    </row>
    <row r="12">
      <c r="A12" t="inlineStr">
        <is>
          <t>n-Butane</t>
        </is>
      </c>
      <c r="B12" t="n">
        <v>3010</v>
      </c>
      <c r="C12" t="n">
        <v>19665</v>
      </c>
      <c r="D12" t="n">
        <v>45.8</v>
      </c>
      <c r="E12" t="n">
        <v>121.4</v>
      </c>
    </row>
    <row r="13">
      <c r="A13" t="inlineStr">
        <is>
          <t>1-Butene</t>
        </is>
      </c>
      <c r="B13" t="n">
        <v>2878</v>
      </c>
      <c r="C13" t="n">
        <v>19420</v>
      </c>
      <c r="D13" t="n">
        <v>45.2</v>
      </c>
      <c r="E13" t="n">
        <v>115.5</v>
      </c>
    </row>
    <row r="14">
      <c r="A14" t="inlineStr">
        <is>
          <t>Carbon Monoxide</t>
        </is>
      </c>
      <c r="B14" t="n">
        <v>322</v>
      </c>
      <c r="C14" t="n">
        <v>4347</v>
      </c>
      <c r="D14" t="n">
        <v>10.1</v>
      </c>
      <c r="E14" t="n">
        <v>12.6</v>
      </c>
    </row>
    <row r="20">
      <c r="A20" s="2" t="inlineStr">
        <is>
          <t>HEAT CONTENT CALCULATION METHOD:</t>
        </is>
      </c>
    </row>
    <row r="21">
      <c r="A21" t="inlineStr">
        <is>
          <t>Stream LHV (MMBTU/ton) = Σ(wt% × LHV_component) / 100</t>
        </is>
      </c>
    </row>
    <row r="22">
      <c r="A22" t="inlineStr">
        <is>
          <t>Annual Heat Content (MMBTU/yr) = Flow (ton/yr) × LHV (MMBTU/ton)</t>
        </is>
      </c>
    </row>
    <row r="23">
      <c r="A23" t="inlineStr">
        <is>
          <t>NG Makeup Cost ($/yr) = Heat Content Lost (MMBTU/yr) × NG Price ($/MMBTU)</t>
        </is>
      </c>
    </row>
    <row r="25">
      <c r="A25" t="inlineStr">
        <is>
          <t>Economic Parameters (from rev03):</t>
        </is>
      </c>
    </row>
    <row r="26">
      <c r="A26" t="inlineStr">
        <is>
          <t>Natural Gas Price = $4.75/MMBTU</t>
        </is>
      </c>
    </row>
    <row r="27">
      <c r="A27" t="inlineStr">
        <is>
          <t>Operating Hours = 8,000 hr/year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ETHYDCO INPUT DATA - FUEL STREAMS</t>
        </is>
      </c>
    </row>
    <row r="3">
      <c r="A3" t="inlineStr">
        <is>
          <t>Source: ETHYDCO Companies Data Questionnaire</t>
        </is>
      </c>
    </row>
    <row r="4">
      <c r="A4" t="inlineStr">
        <is>
          <t>Data extracted from: Data Questionnaire sheet</t>
        </is>
      </c>
    </row>
    <row r="6">
      <c r="A6" s="2" t="inlineStr">
        <is>
          <t>ECONOMIC PARAMETERS</t>
        </is>
      </c>
    </row>
    <row r="7">
      <c r="A7" t="inlineStr">
        <is>
          <t>Operating Hours</t>
        </is>
      </c>
      <c r="B7" t="n">
        <v>8000</v>
      </c>
      <c r="C7" t="inlineStr">
        <is>
          <t>hr/year</t>
        </is>
      </c>
    </row>
    <row r="8">
      <c r="A8" t="inlineStr">
        <is>
          <t>H2 Price</t>
        </is>
      </c>
      <c r="B8" t="n">
        <v>2000</v>
      </c>
      <c r="C8" t="inlineStr">
        <is>
          <t>$/ton</t>
        </is>
      </c>
    </row>
    <row r="9">
      <c r="A9" t="inlineStr">
        <is>
          <t>Propylene Price</t>
        </is>
      </c>
      <c r="B9" t="n">
        <v>900</v>
      </c>
      <c r="C9" t="inlineStr">
        <is>
          <t>$/ton</t>
        </is>
      </c>
    </row>
    <row r="10">
      <c r="A10" t="inlineStr">
        <is>
          <t>LPG Price</t>
        </is>
      </c>
      <c r="B10" t="n">
        <v>729</v>
      </c>
      <c r="C10" t="inlineStr">
        <is>
          <t>$/ton</t>
        </is>
      </c>
    </row>
    <row r="11">
      <c r="A11" t="inlineStr">
        <is>
          <t>C5+ (Naphtha) Price</t>
        </is>
      </c>
      <c r="B11" t="n">
        <v>620</v>
      </c>
      <c r="C11" t="inlineStr">
        <is>
          <t>$/ton</t>
        </is>
      </c>
    </row>
    <row r="12">
      <c r="A12" t="inlineStr">
        <is>
          <t>Natural Gas Price</t>
        </is>
      </c>
      <c r="B12" t="n">
        <v>4.75</v>
      </c>
      <c r="C12" t="inlineStr">
        <is>
          <t>$/MMBTU</t>
        </is>
      </c>
    </row>
    <row r="13">
      <c r="A13" t="inlineStr">
        <is>
          <t>Distance MIDOR-ETHYDCO</t>
        </is>
      </c>
      <c r="B13" t="inlineStr">
        <is>
          <t>17-30</t>
        </is>
      </c>
      <c r="C13" t="inlineStr">
        <is>
          <t>km</t>
        </is>
      </c>
    </row>
    <row r="16">
      <c r="A16" s="2" t="inlineStr">
        <is>
          <t>FUEL STREAM DATA</t>
        </is>
      </c>
    </row>
    <row r="17">
      <c r="A17" s="2" t="inlineStr">
        <is>
          <t>Stream</t>
        </is>
      </c>
      <c r="B17" s="2" t="inlineStr">
        <is>
          <t>Design Flow</t>
        </is>
      </c>
      <c r="C17" s="2" t="inlineStr">
        <is>
          <t>Actual Flow</t>
        </is>
      </c>
      <c r="D17" s="2" t="inlineStr">
        <is>
          <t>Unit</t>
        </is>
      </c>
      <c r="E17" s="2" t="inlineStr">
        <is>
          <t>Conditions</t>
        </is>
      </c>
      <c r="F17" s="2" t="inlineStr">
        <is>
          <t>Current Use</t>
        </is>
      </c>
    </row>
    <row r="18">
      <c r="A18" t="inlineStr">
        <is>
          <t>H2 Offgas</t>
        </is>
      </c>
      <c r="B18" t="inlineStr">
        <is>
          <t>6.812</t>
        </is>
      </c>
      <c r="C18" t="inlineStr">
        <is>
          <t>4-4.5</t>
        </is>
      </c>
      <c r="D18" t="inlineStr">
        <is>
          <t>T/hr</t>
        </is>
      </c>
      <c r="E18" t="inlineStr">
        <is>
          <t>P=3 kg/cm2g, T=39°C</t>
        </is>
      </c>
      <c r="F18" t="inlineStr">
        <is>
          <t>Fuel mix</t>
        </is>
      </c>
    </row>
    <row r="19">
      <c r="A19" t="inlineStr">
        <is>
          <t>Methane Offgas</t>
        </is>
      </c>
      <c r="B19" t="inlineStr">
        <is>
          <t>4.5-6.2</t>
        </is>
      </c>
      <c r="C19" t="inlineStr">
        <is>
          <t>3-4.5</t>
        </is>
      </c>
      <c r="D19" t="inlineStr">
        <is>
          <t>T/hr</t>
        </is>
      </c>
      <c r="E19" t="inlineStr">
        <is>
          <t>P=3.2 kg/cm2g, T=24.5°C</t>
        </is>
      </c>
      <c r="F19" t="inlineStr">
        <is>
          <t>Fuel mix</t>
        </is>
      </c>
    </row>
    <row r="20">
      <c r="A20" t="inlineStr">
        <is>
          <t>C3s Stream (De-C3 OH)</t>
        </is>
      </c>
      <c r="B20" t="inlineStr">
        <is>
          <t>2.9-4.3</t>
        </is>
      </c>
      <c r="C20" t="inlineStr">
        <is>
          <t>2-3</t>
        </is>
      </c>
      <c r="D20" t="inlineStr">
        <is>
          <t>T/hr</t>
        </is>
      </c>
      <c r="E20" t="inlineStr">
        <is>
          <t>P=32 kg/cm2g, T=-1°C</t>
        </is>
      </c>
      <c r="F20" t="inlineStr">
        <is>
          <t>Fuel mix (C3+)</t>
        </is>
      </c>
    </row>
    <row r="21">
      <c r="A21" t="inlineStr">
        <is>
          <t>C4s Stream</t>
        </is>
      </c>
      <c r="B21" t="inlineStr">
        <is>
          <t>0.9</t>
        </is>
      </c>
      <c r="C21" t="inlineStr">
        <is>
          <t>0.7</t>
        </is>
      </c>
      <c r="D21" t="inlineStr">
        <is>
          <t>T/hr</t>
        </is>
      </c>
      <c r="E21" t="inlineStr">
        <is>
          <t>P=31 kg/cm2g, T=41°C</t>
        </is>
      </c>
      <c r="F21" t="inlineStr">
        <is>
          <t>Fuel mix</t>
        </is>
      </c>
    </row>
    <row r="22">
      <c r="A22" t="inlineStr">
        <is>
          <t>Pyrolysis Gasoline</t>
        </is>
      </c>
      <c r="B22" t="inlineStr">
        <is>
          <t>100-400</t>
        </is>
      </c>
      <c r="C22" t="inlineStr">
        <is>
          <t>70-250</t>
        </is>
      </c>
      <c r="D22" t="inlineStr">
        <is>
          <t>kg/hr</t>
        </is>
      </c>
      <c r="E22" t="inlineStr">
        <is>
          <t>P=0.97 kg/cm2g, T=80°C</t>
        </is>
      </c>
      <c r="F22" t="inlineStr">
        <is>
          <t>Fuel (supplementary)</t>
        </is>
      </c>
    </row>
    <row r="23">
      <c r="A23" t="inlineStr">
        <is>
          <t>Amine Stripper CO2</t>
        </is>
      </c>
      <c r="B23" t="inlineStr">
        <is>
          <t>23.2</t>
        </is>
      </c>
      <c r="C23" t="inlineStr">
        <is>
          <t>16-18</t>
        </is>
      </c>
      <c r="D23" t="inlineStr">
        <is>
          <t>T/hr</t>
        </is>
      </c>
      <c r="E23" t="inlineStr">
        <is>
          <t>P=0.57 kg/cm2g, T=57°C</t>
        </is>
      </c>
      <c r="F23" t="inlineStr">
        <is>
          <t>Incinerated</t>
        </is>
      </c>
    </row>
    <row r="24">
      <c r="A24" t="inlineStr">
        <is>
          <t>Mixed Fuel Gas (total)</t>
        </is>
      </c>
      <c r="B24" t="inlineStr">
        <is>
          <t>11.3-13.7</t>
        </is>
      </c>
      <c r="C24" t="inlineStr">
        <is>
          <t>7.9-9.6</t>
        </is>
      </c>
      <c r="D24" t="inlineStr">
        <is>
          <t>T/hr</t>
        </is>
      </c>
      <c r="E24" t="inlineStr">
        <is>
          <t>P=3.2 kg/cm2g, T=36°C</t>
        </is>
      </c>
      <c r="F24" t="inlineStr">
        <is>
          <t>Fuel header</t>
        </is>
      </c>
    </row>
    <row r="27">
      <c r="A27" s="2" t="inlineStr">
        <is>
          <t>STREAM COMPOSITIONS (mol%)</t>
        </is>
      </c>
    </row>
    <row r="28">
      <c r="A28" s="2" t="inlineStr">
        <is>
          <t>Component</t>
        </is>
      </c>
      <c r="B28" s="2" t="inlineStr">
        <is>
          <t>H2 Offgas</t>
        </is>
      </c>
      <c r="C28" s="2" t="inlineStr">
        <is>
          <t>Methane Offgas</t>
        </is>
      </c>
      <c r="D28" s="2" t="inlineStr">
        <is>
          <t>C3s Stream</t>
        </is>
      </c>
      <c r="E28" s="2" t="inlineStr">
        <is>
          <t>C4s Stream</t>
        </is>
      </c>
      <c r="F28" s="2" t="inlineStr">
        <is>
          <t>Mixed Fuel</t>
        </is>
      </c>
      <c r="G28" s="2" t="inlineStr">
        <is>
          <t>Amine Stripper</t>
        </is>
      </c>
    </row>
    <row r="29">
      <c r="A29" t="inlineStr">
        <is>
          <t>H2</t>
        </is>
      </c>
      <c r="B29" t="inlineStr">
        <is>
          <t>88.5</t>
        </is>
      </c>
      <c r="C29" t="inlineStr">
        <is>
          <t>19.5</t>
        </is>
      </c>
      <c r="D29" t="inlineStr">
        <is>
          <t>-</t>
        </is>
      </c>
      <c r="E29" t="inlineStr">
        <is>
          <t>-</t>
        </is>
      </c>
      <c r="F29" t="inlineStr">
        <is>
          <t>77.5</t>
        </is>
      </c>
      <c r="G29" t="inlineStr">
        <is>
          <t>-</t>
        </is>
      </c>
    </row>
    <row r="30">
      <c r="A30" t="inlineStr">
        <is>
          <t>Methane</t>
        </is>
      </c>
      <c r="B30" t="inlineStr">
        <is>
          <t>10.0</t>
        </is>
      </c>
      <c r="C30" t="inlineStr">
        <is>
          <t>79.25</t>
        </is>
      </c>
      <c r="D30" t="inlineStr">
        <is>
          <t>-</t>
        </is>
      </c>
      <c r="E30" t="inlineStr">
        <is>
          <t>-</t>
        </is>
      </c>
      <c r="F30" t="inlineStr">
        <is>
          <t>21.5</t>
        </is>
      </c>
      <c r="G30" t="inlineStr">
        <is>
          <t>-</t>
        </is>
      </c>
    </row>
    <row r="31">
      <c r="A31" t="inlineStr">
        <is>
          <t>CO</t>
        </is>
      </c>
      <c r="B31" t="inlineStr">
        <is>
          <t>0.27</t>
        </is>
      </c>
      <c r="C31" t="inlineStr">
        <is>
          <t>0.3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</row>
    <row r="32">
      <c r="A32" t="inlineStr">
        <is>
          <t>Ethylene</t>
        </is>
      </c>
      <c r="B32" t="inlineStr">
        <is>
          <t>0.25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</row>
    <row r="33">
      <c r="A33" t="inlineStr">
        <is>
          <t>Propylene</t>
        </is>
      </c>
      <c r="B33" t="inlineStr">
        <is>
          <t>-</t>
        </is>
      </c>
      <c r="C33" t="inlineStr">
        <is>
          <t>-</t>
        </is>
      </c>
      <c r="D33" t="inlineStr">
        <is>
          <t>71.75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</row>
    <row r="34">
      <c r="A34" t="inlineStr">
        <is>
          <t>Propane</t>
        </is>
      </c>
      <c r="B34" t="inlineStr">
        <is>
          <t>-</t>
        </is>
      </c>
      <c r="C34" t="inlineStr">
        <is>
          <t>-</t>
        </is>
      </c>
      <c r="D34" t="inlineStr">
        <is>
          <t>26.0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</row>
    <row r="35">
      <c r="A35" t="inlineStr">
        <is>
          <t>Propyne</t>
        </is>
      </c>
      <c r="B35" t="inlineStr">
        <is>
          <t>-</t>
        </is>
      </c>
      <c r="C35" t="inlineStr">
        <is>
          <t>-</t>
        </is>
      </c>
      <c r="D35" t="inlineStr">
        <is>
          <t>3.0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</row>
    <row r="36">
      <c r="A36" t="inlineStr">
        <is>
          <t>C2s</t>
        </is>
      </c>
      <c r="B36" t="inlineStr">
        <is>
          <t>-</t>
        </is>
      </c>
      <c r="C36" t="inlineStr">
        <is>
          <t>-</t>
        </is>
      </c>
      <c r="D36" t="inlineStr">
        <is>
          <t>0.18</t>
        </is>
      </c>
      <c r="E36" t="inlineStr">
        <is>
          <t>-</t>
        </is>
      </c>
      <c r="F36" t="inlineStr">
        <is>
          <t>-</t>
        </is>
      </c>
      <c r="G36" t="inlineStr">
        <is>
          <t>0.19</t>
        </is>
      </c>
    </row>
    <row r="37">
      <c r="A37" t="inlineStr">
        <is>
          <t>n-Butane</t>
        </is>
      </c>
      <c r="B37" t="inlineStr">
        <is>
          <t>-</t>
        </is>
      </c>
      <c r="C37" t="inlineStr">
        <is>
          <t>-</t>
        </is>
      </c>
      <c r="D37" t="inlineStr">
        <is>
          <t>-</t>
        </is>
      </c>
      <c r="E37" t="inlineStr">
        <is>
          <t>43.5</t>
        </is>
      </c>
      <c r="F37" t="inlineStr">
        <is>
          <t>-</t>
        </is>
      </c>
      <c r="G37" t="inlineStr">
        <is>
          <t>-</t>
        </is>
      </c>
    </row>
    <row r="38">
      <c r="A38" t="inlineStr">
        <is>
          <t>1-Butene</t>
        </is>
      </c>
      <c r="B38" t="inlineStr">
        <is>
          <t>-</t>
        </is>
      </c>
      <c r="C38" t="inlineStr">
        <is>
          <t>-</t>
        </is>
      </c>
      <c r="D38" t="inlineStr">
        <is>
          <t>-</t>
        </is>
      </c>
      <c r="E38" t="inlineStr">
        <is>
          <t>26.5</t>
        </is>
      </c>
      <c r="F38" t="inlineStr">
        <is>
          <t>-</t>
        </is>
      </c>
      <c r="G38" t="inlineStr">
        <is>
          <t>-</t>
        </is>
      </c>
    </row>
    <row r="39">
      <c r="A39" t="inlineStr">
        <is>
          <t>2-Butene</t>
        </is>
      </c>
      <c r="B39" t="inlineStr">
        <is>
          <t>-</t>
        </is>
      </c>
      <c r="C39" t="inlineStr">
        <is>
          <t>-</t>
        </is>
      </c>
      <c r="D39" t="inlineStr">
        <is>
          <t>-</t>
        </is>
      </c>
      <c r="E39" t="inlineStr">
        <is>
          <t>19.5</t>
        </is>
      </c>
      <c r="F39" t="inlineStr">
        <is>
          <t>-</t>
        </is>
      </c>
      <c r="G39" t="inlineStr">
        <is>
          <t>-</t>
        </is>
      </c>
    </row>
    <row r="40">
      <c r="A40" t="inlineStr">
        <is>
          <t>Other HCs</t>
        </is>
      </c>
      <c r="B40" t="inlineStr">
        <is>
          <t>-</t>
        </is>
      </c>
      <c r="C40" t="inlineStr">
        <is>
          <t>-</t>
        </is>
      </c>
      <c r="D40" t="inlineStr">
        <is>
          <t>-</t>
        </is>
      </c>
      <c r="E40" t="inlineStr">
        <is>
          <t>10.5</t>
        </is>
      </c>
      <c r="F40" t="inlineStr">
        <is>
          <t>0.5</t>
        </is>
      </c>
      <c r="G40" t="inlineStr">
        <is>
          <t>-</t>
        </is>
      </c>
    </row>
    <row r="41">
      <c r="A41" t="inlineStr">
        <is>
          <t>CO2</t>
        </is>
      </c>
      <c r="B41" t="inlineStr">
        <is>
          <t>-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90.0</t>
        </is>
      </c>
    </row>
    <row r="42">
      <c r="A42" t="inlineStr">
        <is>
          <t>H2S</t>
        </is>
      </c>
      <c r="B42" t="inlineStr">
        <is>
          <t>-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0.05</t>
        </is>
      </c>
    </row>
    <row r="43">
      <c r="A43" t="inlineStr">
        <is>
          <t>Steam/H2O</t>
        </is>
      </c>
      <c r="B43" t="inlineStr">
        <is>
          <t>-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9.0</t>
        </is>
      </c>
    </row>
    <row r="44">
      <c r="A44" t="inlineStr">
        <is>
          <t>Total</t>
        </is>
      </c>
      <c r="B44" t="inlineStr">
        <is>
          <t>99.02</t>
        </is>
      </c>
      <c r="C44" t="inlineStr">
        <is>
          <t>99.05</t>
        </is>
      </c>
      <c r="D44" t="inlineStr">
        <is>
          <t>100.93</t>
        </is>
      </c>
      <c r="E44" t="inlineStr">
        <is>
          <t>100.0</t>
        </is>
      </c>
      <c r="F44" t="inlineStr">
        <is>
          <t>99.5</t>
        </is>
      </c>
      <c r="G44" t="inlineStr">
        <is>
          <t>99.24</t>
        </is>
      </c>
    </row>
    <row r="48">
      <c r="A48" s="2" t="inlineStr">
        <is>
          <t>NATURAL GAS IMPORT DATA</t>
        </is>
      </c>
    </row>
    <row r="49">
      <c r="A49" t="inlineStr">
        <is>
          <t>NG imported from GASCO (2025 YTD):</t>
        </is>
      </c>
      <c r="B49" t="n">
        <v>8170</v>
      </c>
      <c r="C49" t="inlineStr">
        <is>
          <t>tons</t>
        </is>
      </c>
    </row>
    <row r="50">
      <c r="A50" t="inlineStr">
        <is>
          <t>Average monthly import:</t>
        </is>
      </c>
      <c r="B50">
        <f>B49/8</f>
        <v/>
      </c>
      <c r="C50" t="inlineStr">
        <is>
          <t>tons/month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H2 OFFGAS RECOVERY CALCULATION</t>
        </is>
      </c>
    </row>
    <row r="3">
      <c r="A3" s="2" t="inlineStr">
        <is>
          <t>INPUT DATA</t>
        </is>
      </c>
    </row>
    <row r="4">
      <c r="A4" t="inlineStr">
        <is>
          <t>Stream Flow (actual avg)</t>
        </is>
      </c>
      <c r="B4" t="n">
        <v>4.25</v>
      </c>
      <c r="C4" t="inlineStr">
        <is>
          <t>T/hr</t>
        </is>
      </c>
    </row>
    <row r="5">
      <c r="A5" t="inlineStr">
        <is>
          <t>Operating Hours</t>
        </is>
      </c>
      <c r="B5" t="n">
        <v>8000</v>
      </c>
      <c r="C5" t="inlineStr">
        <is>
          <t>hr/year</t>
        </is>
      </c>
    </row>
    <row r="6">
      <c r="A6" t="inlineStr">
        <is>
          <t>Annual Stream Volume</t>
        </is>
      </c>
      <c r="B6">
        <f>B4*B5</f>
        <v/>
      </c>
      <c r="C6" t="inlineStr">
        <is>
          <t>tons/year</t>
        </is>
      </c>
    </row>
    <row r="8">
      <c r="A8" t="inlineStr">
        <is>
          <t>H2 Price</t>
        </is>
      </c>
      <c r="B8" t="n">
        <v>2000</v>
      </c>
      <c r="C8" t="inlineStr">
        <is>
          <t>$/ton</t>
        </is>
      </c>
    </row>
    <row r="9">
      <c r="A9" t="inlineStr">
        <is>
          <t>NG Price</t>
        </is>
      </c>
      <c r="B9" t="n">
        <v>4.75</v>
      </c>
      <c r="C9" t="inlineStr">
        <is>
          <t>$/MMBTU</t>
        </is>
      </c>
    </row>
    <row r="12">
      <c r="A12" s="2" t="inlineStr">
        <is>
          <t>mol% TO wt% CONVERSION</t>
        </is>
      </c>
    </row>
    <row r="13">
      <c r="A13" s="2" t="inlineStr">
        <is>
          <t>Component</t>
        </is>
      </c>
      <c r="B13" s="2" t="inlineStr">
        <is>
          <t>mol%</t>
        </is>
      </c>
      <c r="C13" s="2" t="inlineStr">
        <is>
          <t>MW (g/mol)</t>
        </is>
      </c>
      <c r="D13" s="2" t="inlineStr">
        <is>
          <t>mol% × MW</t>
        </is>
      </c>
      <c r="E13" s="2" t="inlineStr">
        <is>
          <t>wt%</t>
        </is>
      </c>
    </row>
    <row r="14">
      <c r="A14" t="inlineStr">
        <is>
          <t>H2</t>
        </is>
      </c>
      <c r="B14" t="n">
        <v>88.5</v>
      </c>
      <c r="C14" t="n">
        <v>2.016</v>
      </c>
      <c r="D14">
        <f>B14*C14</f>
        <v/>
      </c>
      <c r="E14">
        <f>D14/$D$18*100</f>
        <v/>
      </c>
    </row>
    <row r="15">
      <c r="A15" t="inlineStr">
        <is>
          <t>Methane</t>
        </is>
      </c>
      <c r="B15" t="n">
        <v>10</v>
      </c>
      <c r="C15" t="n">
        <v>16.043</v>
      </c>
      <c r="D15">
        <f>B15*C15</f>
        <v/>
      </c>
      <c r="E15">
        <f>D15/$D$18*100</f>
        <v/>
      </c>
    </row>
    <row r="16">
      <c r="A16" t="inlineStr">
        <is>
          <t>CO</t>
        </is>
      </c>
      <c r="B16" t="n">
        <v>0.27</v>
      </c>
      <c r="C16" t="n">
        <v>28.01</v>
      </c>
      <c r="D16">
        <f>B16*C16</f>
        <v/>
      </c>
      <c r="E16">
        <f>D16/$D$18*100</f>
        <v/>
      </c>
    </row>
    <row r="17">
      <c r="A17" t="inlineStr">
        <is>
          <t>Ethylene</t>
        </is>
      </c>
      <c r="B17" t="n">
        <v>0.25</v>
      </c>
      <c r="C17" t="n">
        <v>28.054</v>
      </c>
      <c r="D17">
        <f>B17*C17</f>
        <v/>
      </c>
      <c r="E17">
        <f>D17/$D$18*100</f>
        <v/>
      </c>
    </row>
    <row r="18">
      <c r="A18" t="inlineStr">
        <is>
          <t>TOTAL</t>
        </is>
      </c>
      <c r="B18">
        <f>SUM(B14:B17)</f>
        <v/>
      </c>
      <c r="C18" t="inlineStr">
        <is>
          <t>-</t>
        </is>
      </c>
      <c r="D18">
        <f>SUM(D14:D17)</f>
        <v/>
      </c>
      <c r="E18">
        <f>SUM(E14:E17)</f>
        <v/>
      </c>
    </row>
    <row r="20">
      <c r="A20" t="inlineStr">
        <is>
          <t>Average Molecular Weight:</t>
        </is>
      </c>
      <c r="B20">
        <f>D18/B18</f>
        <v/>
      </c>
      <c r="C20" t="inlineStr">
        <is>
          <t>g/mol</t>
        </is>
      </c>
    </row>
    <row r="22">
      <c r="A22" s="2" t="inlineStr">
        <is>
          <t>PURE H2 RECOVERY</t>
        </is>
      </c>
    </row>
    <row r="23">
      <c r="A23" t="inlineStr">
        <is>
          <t>Pure H2 in stream (wt%):</t>
        </is>
      </c>
      <c r="B23">
        <f>E14</f>
        <v/>
      </c>
      <c r="C23" t="inlineStr">
        <is>
          <t>%</t>
        </is>
      </c>
    </row>
    <row r="24">
      <c r="A24" t="inlineStr">
        <is>
          <t>Pure H2 mass (tons/year):</t>
        </is>
      </c>
      <c r="B24">
        <f>B6*B23/100</f>
        <v/>
      </c>
      <c r="C24" t="inlineStr">
        <is>
          <t>tons/year</t>
        </is>
      </c>
    </row>
    <row r="26">
      <c r="A26" s="2" t="inlineStr">
        <is>
          <t>HEAT CONTENT CALCULATION</t>
        </is>
      </c>
    </row>
    <row r="27">
      <c r="A27" t="inlineStr">
        <is>
          <t>H2 LHV:</t>
        </is>
      </c>
      <c r="B27" t="n">
        <v>51.6</v>
      </c>
      <c r="C27" t="inlineStr">
        <is>
          <t>MMBTU/ton</t>
        </is>
      </c>
    </row>
    <row r="28">
      <c r="A28" t="inlineStr">
        <is>
          <t>CH4 LHV:</t>
        </is>
      </c>
      <c r="B28" t="n">
        <v>21.5</v>
      </c>
      <c r="C28" t="inlineStr">
        <is>
          <t>MMBTU/ton</t>
        </is>
      </c>
    </row>
    <row r="29">
      <c r="A29" t="inlineStr">
        <is>
          <t>Stream avg LHV:</t>
        </is>
      </c>
      <c r="B29">
        <f>E14/100*B27+E15/100*B28</f>
        <v/>
      </c>
      <c r="C29" t="inlineStr">
        <is>
          <t>MMBTU/ton</t>
        </is>
      </c>
    </row>
    <row r="30">
      <c r="A30" t="inlineStr">
        <is>
          <t>Annual heat content:</t>
        </is>
      </c>
      <c r="B30">
        <f>B6*B29</f>
        <v/>
      </c>
      <c r="C30" t="inlineStr">
        <is>
          <t>MMBTU/year</t>
        </is>
      </c>
    </row>
    <row r="32">
      <c r="A32" s="2" t="inlineStr">
        <is>
          <t>ECONOMIC CALCULATION</t>
        </is>
      </c>
    </row>
    <row r="33">
      <c r="A33" t="inlineStr">
        <is>
          <t>Gross H2 Value:</t>
        </is>
      </c>
      <c r="B33">
        <f>B24*B8</f>
        <v/>
      </c>
      <c r="C33" t="inlineStr">
        <is>
          <t>$/year</t>
        </is>
      </c>
    </row>
    <row r="34">
      <c r="A34" t="inlineStr">
        <is>
          <t>NG Makeup Cost:</t>
        </is>
      </c>
      <c r="B34">
        <f>B30*B9</f>
        <v/>
      </c>
      <c r="C34" t="inlineStr">
        <is>
          <t>$/year</t>
        </is>
      </c>
    </row>
    <row r="35">
      <c r="A35" s="2" t="inlineStr">
        <is>
          <t>NET VALUE:</t>
        </is>
      </c>
      <c r="B35" s="2">
        <f>B33-B34</f>
        <v/>
      </c>
      <c r="C35" t="inlineStr">
        <is>
          <t>$/year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METHANE OFFGAS CALCULATION</t>
        </is>
      </c>
    </row>
    <row r="3">
      <c r="A3" s="2" t="inlineStr">
        <is>
          <t>INPUT DATA</t>
        </is>
      </c>
    </row>
    <row r="4">
      <c r="A4" t="inlineStr">
        <is>
          <t>Stream Flow (actual avg)</t>
        </is>
      </c>
      <c r="B4" t="n">
        <v>3.75</v>
      </c>
      <c r="C4" t="inlineStr">
        <is>
          <t>T/hr</t>
        </is>
      </c>
    </row>
    <row r="5">
      <c r="A5" t="inlineStr">
        <is>
          <t>Operating Hours</t>
        </is>
      </c>
      <c r="B5" t="n">
        <v>8000</v>
      </c>
      <c r="C5" t="inlineStr">
        <is>
          <t>hr/year</t>
        </is>
      </c>
    </row>
    <row r="6">
      <c r="A6" t="inlineStr">
        <is>
          <t>Annual Stream Volume</t>
        </is>
      </c>
      <c r="B6">
        <f>B4*B5</f>
        <v/>
      </c>
      <c r="C6" t="inlineStr">
        <is>
          <t>tons/year</t>
        </is>
      </c>
    </row>
    <row r="8">
      <c r="A8" t="inlineStr">
        <is>
          <t>NG Price</t>
        </is>
      </c>
      <c r="B8" t="n">
        <v>4.75</v>
      </c>
      <c r="C8" t="inlineStr">
        <is>
          <t>$/MMBTU</t>
        </is>
      </c>
    </row>
    <row r="11">
      <c r="A11" s="2" t="inlineStr">
        <is>
          <t>mol% TO wt% CONVERSION</t>
        </is>
      </c>
    </row>
    <row r="12">
      <c r="A12" s="2" t="inlineStr">
        <is>
          <t>Component</t>
        </is>
      </c>
      <c r="B12" s="2" t="inlineStr">
        <is>
          <t>mol%</t>
        </is>
      </c>
      <c r="C12" s="2" t="inlineStr">
        <is>
          <t>MW (g/mol)</t>
        </is>
      </c>
      <c r="D12" s="2" t="inlineStr">
        <is>
          <t>mol% × MW</t>
        </is>
      </c>
      <c r="E12" s="2" t="inlineStr">
        <is>
          <t>wt%</t>
        </is>
      </c>
    </row>
    <row r="13">
      <c r="A13" t="inlineStr">
        <is>
          <t>Methane</t>
        </is>
      </c>
      <c r="B13" t="n">
        <v>79.25</v>
      </c>
      <c r="C13" t="n">
        <v>16.043</v>
      </c>
      <c r="D13">
        <f>B13*C13</f>
        <v/>
      </c>
      <c r="E13">
        <f>D13/$D$16*100</f>
        <v/>
      </c>
    </row>
    <row r="14">
      <c r="A14" t="inlineStr">
        <is>
          <t>H2</t>
        </is>
      </c>
      <c r="B14" t="n">
        <v>19.5</v>
      </c>
      <c r="C14" t="n">
        <v>2.016</v>
      </c>
      <c r="D14">
        <f>B14*C14</f>
        <v/>
      </c>
      <c r="E14">
        <f>D14/$D$16*100</f>
        <v/>
      </c>
    </row>
    <row r="15">
      <c r="A15" t="inlineStr">
        <is>
          <t>CO</t>
        </is>
      </c>
      <c r="B15" t="n">
        <v>0.3</v>
      </c>
      <c r="C15" t="n">
        <v>28.01</v>
      </c>
      <c r="D15">
        <f>B15*C15</f>
        <v/>
      </c>
      <c r="E15">
        <f>D15/$D$16*100</f>
        <v/>
      </c>
    </row>
    <row r="16">
      <c r="A16" t="inlineStr">
        <is>
          <t>TOTAL</t>
        </is>
      </c>
      <c r="B16">
        <f>SUM(B13:B15)</f>
        <v/>
      </c>
      <c r="C16" t="inlineStr">
        <is>
          <t>-</t>
        </is>
      </c>
      <c r="D16">
        <f>SUM(D13:D15)</f>
        <v/>
      </c>
      <c r="E16">
        <f>SUM(E13:E15)</f>
        <v/>
      </c>
    </row>
    <row r="19">
      <c r="A19" s="2" t="inlineStr">
        <is>
          <t>HEAT CONTENT CALCULATION</t>
        </is>
      </c>
    </row>
    <row r="20">
      <c r="A20" t="inlineStr">
        <is>
          <t>CH4 LHV:</t>
        </is>
      </c>
      <c r="B20" t="n">
        <v>21.5</v>
      </c>
      <c r="C20" t="inlineStr">
        <is>
          <t>MMBTU/ton</t>
        </is>
      </c>
    </row>
    <row r="21">
      <c r="A21" t="inlineStr">
        <is>
          <t>H2 LHV:</t>
        </is>
      </c>
      <c r="B21" t="n">
        <v>51.6</v>
      </c>
      <c r="C21" t="inlineStr">
        <is>
          <t>MMBTU/ton</t>
        </is>
      </c>
    </row>
    <row r="22">
      <c r="A22" t="inlineStr">
        <is>
          <t>Stream avg LHV:</t>
        </is>
      </c>
      <c r="B22">
        <f>E13/100*B20+E14/100*B21</f>
        <v/>
      </c>
      <c r="C22" t="inlineStr">
        <is>
          <t>MMBTU/ton</t>
        </is>
      </c>
    </row>
    <row r="23">
      <c r="A23" t="inlineStr">
        <is>
          <t>Annual heat content:</t>
        </is>
      </c>
      <c r="B23">
        <f>B6*B22</f>
        <v/>
      </c>
      <c r="C23" t="inlineStr">
        <is>
          <t>MMBTU/year</t>
        </is>
      </c>
    </row>
    <row r="25">
      <c r="A25" s="2" t="inlineStr">
        <is>
          <t>VALUE AS FUEL (Sent to MIDOR)</t>
        </is>
      </c>
    </row>
    <row r="26">
      <c r="A26" t="inlineStr">
        <is>
          <t>Fuel Value (at NG price):</t>
        </is>
      </c>
      <c r="B26">
        <f>B23*B8</f>
        <v/>
      </c>
      <c r="C26" t="inlineStr">
        <is>
          <t>$/year</t>
        </is>
      </c>
    </row>
    <row r="28">
      <c r="A28" t="inlineStr">
        <is>
          <t>Note: Methane offgas is already used as fuel.</t>
        </is>
      </c>
    </row>
    <row r="29">
      <c r="A29" t="inlineStr">
        <is>
          <t>If sent to MIDOR, it offsets MIDOR's NG consumption.</t>
        </is>
      </c>
    </row>
    <row r="30">
      <c r="A30" t="inlineStr">
        <is>
          <t>No NG makeup needed for ETHYDCO as this doesn't change their fuel balance.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C3 STREAM RECOVERY CALCULATION</t>
        </is>
      </c>
    </row>
    <row r="2">
      <c r="A2" s="3" t="inlineStr">
        <is>
          <t>⚠️ HIGHEST VALUE OPPORTUNITY - Currently burning propylene as fuel!</t>
        </is>
      </c>
    </row>
    <row r="4">
      <c r="A4" s="2" t="inlineStr">
        <is>
          <t>INPUT DATA</t>
        </is>
      </c>
    </row>
    <row r="5">
      <c r="A5" t="inlineStr">
        <is>
          <t>Stream Flow (actual avg)</t>
        </is>
      </c>
      <c r="B5" t="n">
        <v>2.5</v>
      </c>
      <c r="C5" t="inlineStr">
        <is>
          <t>T/hr</t>
        </is>
      </c>
    </row>
    <row r="6">
      <c r="A6" t="inlineStr">
        <is>
          <t>Operating Hours</t>
        </is>
      </c>
      <c r="B6" t="n">
        <v>8000</v>
      </c>
      <c r="C6" t="inlineStr">
        <is>
          <t>hr/year</t>
        </is>
      </c>
    </row>
    <row r="7">
      <c r="A7" t="inlineStr">
        <is>
          <t>Annual Stream Volume</t>
        </is>
      </c>
      <c r="B7">
        <f>B5*B6</f>
        <v/>
      </c>
      <c r="C7" t="inlineStr">
        <is>
          <t>tons/year</t>
        </is>
      </c>
    </row>
    <row r="8"/>
    <row r="9">
      <c r="A9" t="inlineStr">
        <is>
          <t>Propylene Price</t>
        </is>
      </c>
      <c r="B9" t="n">
        <v>900</v>
      </c>
      <c r="C9" t="inlineStr">
        <is>
          <t>$/ton</t>
        </is>
      </c>
    </row>
    <row r="10">
      <c r="A10" t="inlineStr">
        <is>
          <t>LPG (Propane) Price</t>
        </is>
      </c>
      <c r="B10" t="n">
        <v>729</v>
      </c>
      <c r="C10" t="inlineStr">
        <is>
          <t>$/ton</t>
        </is>
      </c>
    </row>
    <row r="11">
      <c r="A11" t="inlineStr">
        <is>
          <t>NG Price</t>
        </is>
      </c>
      <c r="B11" t="n">
        <v>4.75</v>
      </c>
      <c r="C11" t="inlineStr">
        <is>
          <t>$/MMBTU</t>
        </is>
      </c>
    </row>
    <row r="14">
      <c r="A14" s="2" t="inlineStr">
        <is>
          <t>mol% TO wt% CONVERSION</t>
        </is>
      </c>
    </row>
    <row r="15">
      <c r="A15" s="2" t="inlineStr">
        <is>
          <t>Component</t>
        </is>
      </c>
      <c r="B15" s="2" t="inlineStr">
        <is>
          <t>mol%</t>
        </is>
      </c>
      <c r="C15" s="2" t="inlineStr">
        <is>
          <t>MW (g/mol)</t>
        </is>
      </c>
      <c r="D15" s="2" t="inlineStr">
        <is>
          <t>mol% × MW</t>
        </is>
      </c>
      <c r="E15" s="2" t="inlineStr">
        <is>
          <t>wt%</t>
        </is>
      </c>
    </row>
    <row r="16">
      <c r="A16" t="inlineStr">
        <is>
          <t>Propylene</t>
        </is>
      </c>
      <c r="B16" t="n">
        <v>71.75</v>
      </c>
      <c r="C16" t="n">
        <v>42.08</v>
      </c>
      <c r="D16">
        <f>B16*C16</f>
        <v/>
      </c>
      <c r="E16">
        <f>D16/$D$20*100</f>
        <v/>
      </c>
    </row>
    <row r="17">
      <c r="A17" t="inlineStr">
        <is>
          <t>Propane</t>
        </is>
      </c>
      <c r="B17" t="n">
        <v>26</v>
      </c>
      <c r="C17" t="n">
        <v>44.096</v>
      </c>
      <c r="D17">
        <f>B17*C17</f>
        <v/>
      </c>
      <c r="E17">
        <f>D17/$D$20*100</f>
        <v/>
      </c>
    </row>
    <row r="18">
      <c r="A18" t="inlineStr">
        <is>
          <t>Propyne</t>
        </is>
      </c>
      <c r="B18" t="n">
        <v>3</v>
      </c>
      <c r="C18" t="n">
        <v>40.064</v>
      </c>
      <c r="D18">
        <f>B18*C18</f>
        <v/>
      </c>
      <c r="E18">
        <f>D18/$D$20*100</f>
        <v/>
      </c>
    </row>
    <row r="19">
      <c r="A19" t="inlineStr">
        <is>
          <t>C2s</t>
        </is>
      </c>
      <c r="B19" t="n">
        <v>0.18</v>
      </c>
      <c r="C19" t="n">
        <v>30.07</v>
      </c>
      <c r="D19">
        <f>B19*C19</f>
        <v/>
      </c>
      <c r="E19">
        <f>D19/$D$20*100</f>
        <v/>
      </c>
    </row>
    <row r="20">
      <c r="A20" t="inlineStr">
        <is>
          <t>TOTAL</t>
        </is>
      </c>
      <c r="B20">
        <f>SUM(B16:B19)</f>
        <v/>
      </c>
      <c r="C20" t="inlineStr">
        <is>
          <t>-</t>
        </is>
      </c>
      <c r="D20">
        <f>SUM(D16:D19)</f>
        <v/>
      </c>
      <c r="E20">
        <f>SUM(E16:E19)</f>
        <v/>
      </c>
    </row>
    <row r="23">
      <c r="A23" s="2" t="inlineStr">
        <is>
          <t>PRODUCT QUANTITIES</t>
        </is>
      </c>
    </row>
    <row r="24">
      <c r="A24" t="inlineStr">
        <is>
          <t>Propylene (tons/year):</t>
        </is>
      </c>
      <c r="B24">
        <f>B7*E16/100</f>
        <v/>
      </c>
    </row>
    <row r="25">
      <c r="A25" t="inlineStr">
        <is>
          <t>Propane (tons/year):</t>
        </is>
      </c>
      <c r="B25">
        <f>B7*E17/100</f>
        <v/>
      </c>
    </row>
    <row r="26">
      <c r="A26" t="inlineStr">
        <is>
          <t>Propyne impurity (tons/year):</t>
        </is>
      </c>
      <c r="B26">
        <f>B7*E18/100</f>
        <v/>
      </c>
    </row>
    <row r="28">
      <c r="A28" s="2" t="inlineStr">
        <is>
          <t>HEAT CONTENT CALCULATION (Lost fuel value)</t>
        </is>
      </c>
    </row>
    <row r="29">
      <c r="A29" t="inlineStr">
        <is>
          <t>Propylene LHV:</t>
        </is>
      </c>
      <c r="B29" t="n">
        <v>19.7</v>
      </c>
      <c r="C29" t="inlineStr">
        <is>
          <t>MMBTU/ton</t>
        </is>
      </c>
    </row>
    <row r="30">
      <c r="A30" t="inlineStr">
        <is>
          <t>Propane LHV:</t>
        </is>
      </c>
      <c r="B30" t="n">
        <v>19.9</v>
      </c>
      <c r="C30" t="inlineStr">
        <is>
          <t>MMBTU/ton</t>
        </is>
      </c>
    </row>
    <row r="31">
      <c r="A31" t="inlineStr">
        <is>
          <t>Stream avg LHV:</t>
        </is>
      </c>
      <c r="B31">
        <f>E16/100*B29+E17/100*B30+E18/100*19.2</f>
        <v/>
      </c>
      <c r="C31" t="inlineStr">
        <is>
          <t>MMBTU/ton</t>
        </is>
      </c>
    </row>
    <row r="32">
      <c r="A32" t="inlineStr">
        <is>
          <t>Annual heat content lost:</t>
        </is>
      </c>
      <c r="B32">
        <f>B7*B31</f>
        <v/>
      </c>
      <c r="C32" t="inlineStr">
        <is>
          <t>MMBTU/year</t>
        </is>
      </c>
    </row>
    <row r="34">
      <c r="A34" s="2" t="inlineStr">
        <is>
          <t>ECONOMIC CALCULATION</t>
        </is>
      </c>
    </row>
    <row r="35">
      <c r="A35" s="4" t="inlineStr">
        <is>
          <t>OPTION 1: Sell as separate products</t>
        </is>
      </c>
    </row>
    <row r="36">
      <c r="A36" t="inlineStr">
        <is>
          <t>Propylene Gross Value:</t>
        </is>
      </c>
      <c r="B36">
        <f>B24*B9</f>
        <v/>
      </c>
      <c r="C36" t="inlineStr">
        <is>
          <t>$/year</t>
        </is>
      </c>
    </row>
    <row r="37">
      <c r="A37" t="inlineStr">
        <is>
          <t>Propane (LPG) Gross Value:</t>
        </is>
      </c>
      <c r="B37">
        <f>B25*B10</f>
        <v/>
      </c>
      <c r="C37" t="inlineStr">
        <is>
          <t>$/year</t>
        </is>
      </c>
    </row>
    <row r="38">
      <c r="A38" s="2" t="inlineStr">
        <is>
          <t>TOTAL GROSS VALUE:</t>
        </is>
      </c>
      <c r="B38">
        <f>B36+B37</f>
        <v/>
      </c>
      <c r="C38" t="inlineStr">
        <is>
          <t>$/year</t>
        </is>
      </c>
    </row>
    <row r="40">
      <c r="A40" t="inlineStr">
        <is>
          <t>ETHYDCO NG Makeup Cost:</t>
        </is>
      </c>
      <c r="B40">
        <f>B32*B11</f>
        <v/>
      </c>
      <c r="C40" t="inlineStr">
        <is>
          <t>$/year</t>
        </is>
      </c>
    </row>
    <row r="42">
      <c r="A42" s="2" t="inlineStr">
        <is>
          <t>NET VALUE (Option 1):</t>
        </is>
      </c>
      <c r="B42" s="2">
        <f>B38-B40</f>
        <v/>
      </c>
      <c r="C42" t="inlineStr">
        <is>
          <t>$/year</t>
        </is>
      </c>
    </row>
    <row r="44">
      <c r="A44" s="4" t="inlineStr">
        <is>
          <t>OPTION 2: Sell as mixed C3 stream (refinery grade)</t>
        </is>
      </c>
    </row>
    <row r="45">
      <c r="A45" t="inlineStr">
        <is>
          <t>Mixed C3 price (estimated):</t>
        </is>
      </c>
      <c r="B45" t="n">
        <v>750</v>
      </c>
      <c r="C45" t="inlineStr">
        <is>
          <t>$/ton (lower than polymer grade)</t>
        </is>
      </c>
    </row>
    <row r="46">
      <c r="A46" t="inlineStr">
        <is>
          <t>Mixed C3 Gross Value:</t>
        </is>
      </c>
      <c r="B46">
        <f>B7*B45</f>
        <v/>
      </c>
      <c r="C46" t="inlineStr">
        <is>
          <t>$/year</t>
        </is>
      </c>
    </row>
    <row r="47">
      <c r="A47" s="2" t="inlineStr">
        <is>
          <t>NET VALUE (Option 2):</t>
        </is>
      </c>
      <c r="B47">
        <f>B46-B40</f>
        <v/>
      </c>
      <c r="C47" t="inlineStr">
        <is>
          <t>$/year</t>
        </is>
      </c>
    </row>
    <row r="49">
      <c r="A49" t="inlineStr">
        <is>
          <t>NOTE: Propyne (3%) is an impurity that may need hydrogenation before sale.</t>
        </is>
      </c>
    </row>
    <row r="50">
      <c r="A50" t="inlineStr">
        <is>
          <t>Processing cost for propyne removal estimated at $50-100/ton of stream.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C4 STREAM RECOVERY CALCULATION</t>
        </is>
      </c>
    </row>
    <row r="3">
      <c r="A3" s="2" t="inlineStr">
        <is>
          <t>INPUT DATA</t>
        </is>
      </c>
    </row>
    <row r="4">
      <c r="A4" t="inlineStr">
        <is>
          <t>Stream Flow (actual)</t>
        </is>
      </c>
      <c r="B4" t="n">
        <v>0.7</v>
      </c>
      <c r="C4" t="inlineStr">
        <is>
          <t>T/hr</t>
        </is>
      </c>
    </row>
    <row r="5">
      <c r="A5" t="inlineStr">
        <is>
          <t>Operating Hours</t>
        </is>
      </c>
      <c r="B5" t="n">
        <v>8000</v>
      </c>
      <c r="C5" t="inlineStr">
        <is>
          <t>hr/year</t>
        </is>
      </c>
    </row>
    <row r="6">
      <c r="A6" t="inlineStr">
        <is>
          <t>Annual Stream Volume</t>
        </is>
      </c>
      <c r="B6">
        <f>B4*B5</f>
        <v/>
      </c>
      <c r="C6" t="inlineStr">
        <is>
          <t>tons/year</t>
        </is>
      </c>
    </row>
    <row r="7"/>
    <row r="8">
      <c r="A8" t="inlineStr">
        <is>
          <t>LPG Price</t>
        </is>
      </c>
      <c r="B8" t="n">
        <v>729</v>
      </c>
      <c r="C8" t="inlineStr">
        <is>
          <t>$/ton</t>
        </is>
      </c>
    </row>
    <row r="9">
      <c r="A9" t="inlineStr">
        <is>
          <t>NG Price</t>
        </is>
      </c>
      <c r="B9" t="n">
        <v>4.75</v>
      </c>
      <c r="C9" t="inlineStr">
        <is>
          <t>$/MMBTU</t>
        </is>
      </c>
    </row>
    <row r="12">
      <c r="A12" s="2" t="inlineStr">
        <is>
          <t>mol% TO wt% CONVERSION</t>
        </is>
      </c>
    </row>
    <row r="13">
      <c r="A13" s="2" t="inlineStr">
        <is>
          <t>Component</t>
        </is>
      </c>
      <c r="B13" s="2" t="inlineStr">
        <is>
          <t>mol%</t>
        </is>
      </c>
      <c r="C13" s="2" t="inlineStr">
        <is>
          <t>MW (g/mol)</t>
        </is>
      </c>
      <c r="D13" s="2" t="inlineStr">
        <is>
          <t>mol% × MW</t>
        </is>
      </c>
      <c r="E13" s="2" t="inlineStr">
        <is>
          <t>wt%</t>
        </is>
      </c>
    </row>
    <row r="14">
      <c r="A14" t="inlineStr">
        <is>
          <t>n-Butane</t>
        </is>
      </c>
      <c r="B14" t="n">
        <v>43.5</v>
      </c>
      <c r="C14" t="n">
        <v>58.122</v>
      </c>
      <c r="D14">
        <f>B14*C14</f>
        <v/>
      </c>
      <c r="E14">
        <f>D14/$D$18*100</f>
        <v/>
      </c>
    </row>
    <row r="15">
      <c r="A15" t="inlineStr">
        <is>
          <t>1-Butene</t>
        </is>
      </c>
      <c r="B15" t="n">
        <v>26.5</v>
      </c>
      <c r="C15" t="n">
        <v>56.106</v>
      </c>
      <c r="D15">
        <f>B15*C15</f>
        <v/>
      </c>
      <c r="E15">
        <f>D15/$D$18*100</f>
        <v/>
      </c>
    </row>
    <row r="16">
      <c r="A16" t="inlineStr">
        <is>
          <t>2-Butene</t>
        </is>
      </c>
      <c r="B16" t="n">
        <v>19.5</v>
      </c>
      <c r="C16" t="n">
        <v>56.106</v>
      </c>
      <c r="D16">
        <f>B16*C16</f>
        <v/>
      </c>
      <c r="E16">
        <f>D16/$D$18*100</f>
        <v/>
      </c>
    </row>
    <row r="17">
      <c r="A17" t="inlineStr">
        <is>
          <t>Other HCs</t>
        </is>
      </c>
      <c r="B17" t="n">
        <v>10.5</v>
      </c>
      <c r="C17" t="n">
        <v>58</v>
      </c>
      <c r="D17">
        <f>B17*C17</f>
        <v/>
      </c>
      <c r="E17">
        <f>D17/$D$18*100</f>
        <v/>
      </c>
    </row>
    <row r="18">
      <c r="A18" t="inlineStr">
        <is>
          <t>TOTAL</t>
        </is>
      </c>
      <c r="B18">
        <f>SUM(B14:B17)</f>
        <v/>
      </c>
      <c r="C18" t="inlineStr">
        <is>
          <t>-</t>
        </is>
      </c>
      <c r="D18">
        <f>SUM(D14:D17)</f>
        <v/>
      </c>
      <c r="E18">
        <f>SUM(E14:E17)</f>
        <v/>
      </c>
    </row>
    <row r="21">
      <c r="A21" s="2" t="inlineStr">
        <is>
          <t>HEAT CONTENT CALCULATION</t>
        </is>
      </c>
    </row>
    <row r="22">
      <c r="A22" t="inlineStr">
        <is>
          <t>C4 stream avg LHV:</t>
        </is>
      </c>
      <c r="B22" t="n">
        <v>19.5</v>
      </c>
      <c r="C22" t="inlineStr">
        <is>
          <t>MMBTU/ton</t>
        </is>
      </c>
    </row>
    <row r="23">
      <c r="A23" t="inlineStr">
        <is>
          <t>Annual heat content lost:</t>
        </is>
      </c>
      <c r="B23">
        <f>B6*B22</f>
        <v/>
      </c>
      <c r="C23" t="inlineStr">
        <is>
          <t>MMBTU/year</t>
        </is>
      </c>
    </row>
    <row r="25">
      <c r="A25" s="2" t="inlineStr">
        <is>
          <t>ECONOMIC CALCULATION</t>
        </is>
      </c>
    </row>
    <row r="26">
      <c r="A26" t="inlineStr">
        <is>
          <t>Gross Value (as LPG):</t>
        </is>
      </c>
      <c r="B26">
        <f>B6*B8</f>
        <v/>
      </c>
      <c r="C26" t="inlineStr">
        <is>
          <t>$/year</t>
        </is>
      </c>
    </row>
    <row r="27">
      <c r="A27" t="inlineStr">
        <is>
          <t>ETHYDCO NG Makeup Cost:</t>
        </is>
      </c>
      <c r="B27">
        <f>B23*B9</f>
        <v/>
      </c>
      <c r="C27" t="inlineStr">
        <is>
          <t>$/year</t>
        </is>
      </c>
    </row>
    <row r="28">
      <c r="A28" s="2" t="inlineStr">
        <is>
          <t>NET VALUE:</t>
        </is>
      </c>
      <c r="B28" s="2">
        <f>B26-B27</f>
        <v/>
      </c>
      <c r="C28" t="inlineStr">
        <is>
          <t>$/year</t>
        </is>
      </c>
    </row>
    <row r="30">
      <c r="A30" t="inlineStr">
        <is>
          <t>NOTE: C4 stream contains valuable butenes (46%) which could be used for:</t>
        </is>
      </c>
    </row>
    <row r="31">
      <c r="A31" t="inlineStr">
        <is>
          <t>- MTBE production (if integrated with methanol)</t>
        </is>
      </c>
    </row>
    <row r="32">
      <c r="A32" t="inlineStr">
        <is>
          <t>- Alkylation unit feed (high octane gasoline)</t>
        </is>
      </c>
    </row>
    <row r="33">
      <c r="A33" t="inlineStr">
        <is>
          <t>- Polymer-grade butenes (higher price than LPG)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PYROLYSIS GASOLINE (PYGAS) CALCULATION</t>
        </is>
      </c>
    </row>
    <row r="3">
      <c r="A3" s="2" t="inlineStr">
        <is>
          <t>INPUT DATA</t>
        </is>
      </c>
    </row>
    <row r="4">
      <c r="A4" t="inlineStr">
        <is>
          <t>Stream Flow (actual avg)</t>
        </is>
      </c>
      <c r="B4" t="n">
        <v>160</v>
      </c>
      <c r="C4" t="inlineStr">
        <is>
          <t>kg/hr</t>
        </is>
      </c>
    </row>
    <row r="5">
      <c r="A5" t="inlineStr">
        <is>
          <t>Operating Hours</t>
        </is>
      </c>
      <c r="B5" t="n">
        <v>8000</v>
      </c>
      <c r="C5" t="inlineStr">
        <is>
          <t>hr/year</t>
        </is>
      </c>
    </row>
    <row r="6">
      <c r="A6" t="inlineStr">
        <is>
          <t>Annual Stream Volume</t>
        </is>
      </c>
      <c r="B6">
        <f>B4*B5/1000</f>
        <v/>
      </c>
      <c r="C6" t="inlineStr">
        <is>
          <t>tons/year</t>
        </is>
      </c>
    </row>
    <row r="7"/>
    <row r="8">
      <c r="A8" t="inlineStr">
        <is>
          <t>Naphtha/Gasoline blend price</t>
        </is>
      </c>
      <c r="B8" t="n">
        <v>620</v>
      </c>
      <c r="C8" t="inlineStr">
        <is>
          <t>$/ton</t>
        </is>
      </c>
    </row>
    <row r="9">
      <c r="A9" t="inlineStr">
        <is>
          <t>NG Price</t>
        </is>
      </c>
      <c r="B9" t="n">
        <v>4.75</v>
      </c>
      <c r="C9" t="inlineStr">
        <is>
          <t>$/MMBTU</t>
        </is>
      </c>
    </row>
    <row r="12">
      <c r="A12" s="2" t="inlineStr">
        <is>
          <t>COMPOSITION (mol%)</t>
        </is>
      </c>
    </row>
    <row r="13">
      <c r="A13" t="inlineStr">
        <is>
          <t>C9-204°C fraction:</t>
        </is>
      </c>
      <c r="B13" t="n">
        <v>48</v>
      </c>
      <c r="C13" t="inlineStr">
        <is>
          <t>%</t>
        </is>
      </c>
    </row>
    <row r="14">
      <c r="A14" t="inlineStr">
        <is>
          <t>Styrene:</t>
        </is>
      </c>
      <c r="B14" t="n">
        <v>23</v>
      </c>
      <c r="C14" t="inlineStr">
        <is>
          <t>%</t>
        </is>
      </c>
    </row>
    <row r="15">
      <c r="A15" t="inlineStr">
        <is>
          <t>PGO (204-288°C):</t>
        </is>
      </c>
      <c r="B15" t="n">
        <v>20</v>
      </c>
      <c r="C15" t="inlineStr">
        <is>
          <t>%</t>
        </is>
      </c>
    </row>
    <row r="16">
      <c r="A16" t="inlineStr">
        <is>
          <t>BTX (Tol/Xyl/EtBz):</t>
        </is>
      </c>
      <c r="B16" t="n">
        <v>3.5</v>
      </c>
      <c r="C16" t="inlineStr">
        <is>
          <t>%</t>
        </is>
      </c>
    </row>
    <row r="19">
      <c r="A19" s="2" t="inlineStr">
        <is>
          <t>HEAT CONTENT CALCULATION</t>
        </is>
      </c>
    </row>
    <row r="20">
      <c r="A20" t="inlineStr">
        <is>
          <t>Pygas avg LHV:</t>
        </is>
      </c>
      <c r="B20" t="n">
        <v>18.5</v>
      </c>
      <c r="C20" t="inlineStr">
        <is>
          <t>MMBTU/ton</t>
        </is>
      </c>
    </row>
    <row r="21">
      <c r="A21" t="inlineStr">
        <is>
          <t>Annual heat content lost:</t>
        </is>
      </c>
      <c r="B21">
        <f>B6*B20</f>
        <v/>
      </c>
      <c r="C21" t="inlineStr">
        <is>
          <t>MMBTU/year</t>
        </is>
      </c>
    </row>
    <row r="23">
      <c r="A23" s="2" t="inlineStr">
        <is>
          <t>ECONOMIC CALCULATION</t>
        </is>
      </c>
    </row>
    <row r="24">
      <c r="A24" t="inlineStr">
        <is>
          <t>Gross Value (as gasoline blend):</t>
        </is>
      </c>
      <c r="B24">
        <f>B6*B8</f>
        <v/>
      </c>
      <c r="C24" t="inlineStr">
        <is>
          <t>$/year</t>
        </is>
      </c>
    </row>
    <row r="25">
      <c r="A25" t="inlineStr">
        <is>
          <t>ETHYDCO NG Makeup Cost:</t>
        </is>
      </c>
      <c r="B25">
        <f>B21*B9</f>
        <v/>
      </c>
      <c r="C25" t="inlineStr">
        <is>
          <t>$/year</t>
        </is>
      </c>
    </row>
    <row r="26">
      <c r="A26" s="2" t="inlineStr">
        <is>
          <t>NET VALUE:</t>
        </is>
      </c>
      <c r="B26" s="2">
        <f>B24-B25</f>
        <v/>
      </c>
      <c r="C26" t="inlineStr">
        <is>
          <t>$/year</t>
        </is>
      </c>
    </row>
    <row r="28">
      <c r="A28" t="inlineStr">
        <is>
          <t>NOTE: Pyrolysis gasoline has higher value potential if aromatics are extracted:</t>
        </is>
      </c>
    </row>
    <row r="29">
      <c r="A29" t="inlineStr">
        <is>
          <t>- Benzene extraction</t>
        </is>
      </c>
    </row>
    <row r="30">
      <c r="A30" t="inlineStr">
        <is>
          <t>- Toluene/Xylene recovery</t>
        </is>
      </c>
    </row>
    <row r="31">
      <c r="A31" t="inlineStr">
        <is>
          <t>However, current volume (1,280 t/yr) is too small for dedicated extraction unit.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UTILIZATION (Amine Stripper Offgas)</t>
        </is>
      </c>
    </row>
    <row r="2">
      <c r="A2" s="3" t="inlineStr">
        <is>
          <t>⚠️ Currently incinerated and vented - WASTE STREAM</t>
        </is>
      </c>
    </row>
    <row r="4">
      <c r="A4" s="2" t="inlineStr">
        <is>
          <t>INPUT DATA</t>
        </is>
      </c>
    </row>
    <row r="5">
      <c r="A5" t="inlineStr">
        <is>
          <t>Stream Flow (actual avg)</t>
        </is>
      </c>
      <c r="B5" t="n">
        <v>17</v>
      </c>
      <c r="C5" t="inlineStr">
        <is>
          <t>T/hr</t>
        </is>
      </c>
    </row>
    <row r="6">
      <c r="A6" t="inlineStr">
        <is>
          <t>Operating Hours</t>
        </is>
      </c>
      <c r="B6" t="n">
        <v>8000</v>
      </c>
      <c r="C6" t="inlineStr">
        <is>
          <t>hr/year</t>
        </is>
      </c>
    </row>
    <row r="7">
      <c r="A7" t="inlineStr">
        <is>
          <t>Annual Stream Volume</t>
        </is>
      </c>
      <c r="B7">
        <f>B5*B6</f>
        <v/>
      </c>
      <c r="C7" t="inlineStr">
        <is>
          <t>tons/year</t>
        </is>
      </c>
    </row>
    <row r="8">
      <c r="A8" t="inlineStr">
        <is>
          <t>CO2 content</t>
        </is>
      </c>
      <c r="B8" t="n">
        <v>90</v>
      </c>
      <c r="C8" t="inlineStr">
        <is>
          <t>mol%</t>
        </is>
      </c>
    </row>
    <row r="9">
      <c r="A9" t="inlineStr">
        <is>
          <t>Pure CO2 (tons/year)</t>
        </is>
      </c>
      <c r="B9">
        <f>B7*B8/100</f>
        <v/>
      </c>
      <c r="C9" t="inlineStr">
        <is>
          <t>tons/year</t>
        </is>
      </c>
    </row>
    <row r="12">
      <c r="A12" s="2" t="inlineStr">
        <is>
          <t>SYNERGY WITH rev03 METHANOL SYNTHESIS</t>
        </is>
      </c>
    </row>
    <row r="14">
      <c r="A14" t="inlineStr">
        <is>
          <t>rev03 Phase 3 produces methanol from MIDOR purge gas (CO2 + CO + H2)</t>
        </is>
      </c>
    </row>
    <row r="15">
      <c r="A15" t="inlineStr">
        <is>
          <t>ETHYDCO CO2 could supplement this to increase methanol production</t>
        </is>
      </c>
    </row>
    <row r="16"/>
    <row r="17">
      <c r="A17" t="inlineStr">
        <is>
          <t>Methanol Synthesis Reaction:</t>
        </is>
      </c>
    </row>
    <row r="18">
      <c r="A18" t="inlineStr">
        <is>
          <t>CO2 + 3H2 → CH3OH + H2O</t>
        </is>
      </c>
    </row>
    <row r="19"/>
    <row r="20">
      <c r="A20" t="inlineStr">
        <is>
          <t>Stoichiometry:</t>
        </is>
      </c>
    </row>
    <row r="21">
      <c r="A21" t="inlineStr">
        <is>
          <t>1 mol CO2 (44 g) + 3 mol H2 (6 g) = 1 mol MeOH (32 g)</t>
        </is>
      </c>
    </row>
    <row r="22">
      <c r="A22" t="inlineStr">
        <is>
          <t>CO2:H2 ratio = 44:6 = 7.33 kg CO2 per kg H2</t>
        </is>
      </c>
    </row>
    <row r="23">
      <c r="A23" t="inlineStr">
        <is>
          <t>Methanol yield = 32/(44+6) = 0.64 kg MeOH per kg (CO2+H2)</t>
        </is>
      </c>
    </row>
    <row r="25">
      <c r="A25" s="2" t="inlineStr">
        <is>
          <t>H2 REQUIREMENT FOR CO2 CONVERSION</t>
        </is>
      </c>
    </row>
    <row r="26">
      <c r="A26" t="inlineStr">
        <is>
          <t>ETHYDCO CO2 available (t/yr):</t>
        </is>
      </c>
      <c r="B26">
        <f>B9</f>
        <v/>
      </c>
    </row>
    <row r="27">
      <c r="A27" t="inlineStr">
        <is>
          <t>H2 required for conversion (t/yr):</t>
        </is>
      </c>
      <c r="B27">
        <f>B26/7.33</f>
        <v/>
      </c>
      <c r="C27" t="inlineStr">
        <is>
          <t>(CO2:H2 = 7.33:1 mass ratio)</t>
        </is>
      </c>
    </row>
    <row r="28">
      <c r="A28" t="inlineStr">
        <is>
          <t>Methanol production potential (t/yr):</t>
        </is>
      </c>
      <c r="B28">
        <f>(B26+B27)*0.64</f>
        <v/>
      </c>
    </row>
    <row r="30">
      <c r="A30" s="2" t="inlineStr">
        <is>
          <t>ECONOMIC VALUE (If converted to methanol)</t>
        </is>
      </c>
    </row>
    <row r="31">
      <c r="A31" t="inlineStr">
        <is>
          <t>Methanol price:</t>
        </is>
      </c>
      <c r="B31" t="n">
        <v>450</v>
      </c>
      <c r="C31" t="inlineStr">
        <is>
          <t>$/ton</t>
        </is>
      </c>
    </row>
    <row r="32">
      <c r="A32" t="inlineStr">
        <is>
          <t>Gross Methanol Value:</t>
        </is>
      </c>
      <c r="B32">
        <f>B28*B31</f>
        <v/>
      </c>
      <c r="C32" t="inlineStr">
        <is>
          <t>$/year</t>
        </is>
      </c>
    </row>
    <row r="34">
      <c r="A34" t="inlineStr">
        <is>
          <t>H2 Cost (if from ETHYDCO offgas):</t>
        </is>
      </c>
      <c r="B34">
        <f>B27*2000</f>
        <v/>
      </c>
      <c r="C34" t="inlineStr">
        <is>
          <t>$/year</t>
        </is>
      </c>
    </row>
    <row r="35">
      <c r="A35" t="inlineStr">
        <is>
          <t>Net Value (if free H2):</t>
        </is>
      </c>
      <c r="B35">
        <f>B32</f>
        <v/>
      </c>
      <c r="C35" t="inlineStr">
        <is>
          <t>$/year</t>
        </is>
      </c>
    </row>
    <row r="36">
      <c r="A36" t="inlineStr">
        <is>
          <t>Net Value (if H2 purchased):</t>
        </is>
      </c>
      <c r="B36">
        <f>B32-B34</f>
        <v/>
      </c>
      <c r="C36" t="inlineStr">
        <is>
          <t>$/year</t>
        </is>
      </c>
    </row>
    <row r="38">
      <c r="A38" t="inlineStr">
        <is>
          <t>NOTE: This is a SYNERGY opportunity with rev03 Phase 3 methanol project</t>
        </is>
      </c>
    </row>
    <row r="39">
      <c r="A39" t="inlineStr">
        <is>
          <t>The calculation assumes:</t>
        </is>
      </c>
    </row>
    <row r="40">
      <c r="A40" t="inlineStr">
        <is>
          <t>1. H2 can be sourced from ETHYDCO H2 offgas or MIDOR</t>
        </is>
      </c>
    </row>
    <row r="41">
      <c r="A41" t="inlineStr">
        <is>
          <t>2. Methanol plant CAPEX is already included in rev03</t>
        </is>
      </c>
    </row>
    <row r="42">
      <c r="A42" t="inlineStr">
        <is>
          <t>3. Additional CAPEX needed: CO2 compression and pipeline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2" customWidth="1" min="3" max="3"/>
    <col width="22" customWidth="1" min="4" max="4"/>
    <col width="18" customWidth="1" min="5" max="5"/>
    <col width="18" customWidth="1" min="6" max="6"/>
    <col width="45" customWidth="1" min="7" max="7"/>
  </cols>
  <sheetData>
    <row r="1">
      <c r="A1" s="1" t="inlineStr">
        <is>
          <t>ETHYDCO NG MAKEUP COST CALCULATION</t>
        </is>
      </c>
    </row>
    <row r="3">
      <c r="A3" t="inlineStr">
        <is>
          <t>When fuel streams are diverted from ETHYDCO's fuel gas system for recovery/sale,</t>
        </is>
      </c>
    </row>
    <row r="4">
      <c r="A4" t="inlineStr">
        <is>
          <t>ETHYDCO must import additional Natural Gas from GASCO to maintain fuel balance.</t>
        </is>
      </c>
    </row>
    <row r="5">
      <c r="A5" t="inlineStr">
        <is>
          <t>This sheet calculates the total NG makeup cost that must be deducted from gross values.</t>
        </is>
      </c>
    </row>
    <row r="7">
      <c r="A7" s="5" t="inlineStr">
        <is>
          <t>PARAMETERS</t>
        </is>
      </c>
    </row>
    <row r="8">
      <c r="A8" s="6" t="inlineStr">
        <is>
          <t>Parameter</t>
        </is>
      </c>
      <c r="B8" s="6" t="inlineStr">
        <is>
          <t>Value</t>
        </is>
      </c>
      <c r="C8" s="6" t="inlineStr">
        <is>
          <t>Unit</t>
        </is>
      </c>
      <c r="D8" s="6" t="inlineStr">
        <is>
          <t>Source</t>
        </is>
      </c>
    </row>
    <row r="9">
      <c r="A9" s="7" t="inlineStr">
        <is>
          <t>Natural Gas Price</t>
        </is>
      </c>
      <c r="B9" s="7" t="n">
        <v>4.75</v>
      </c>
      <c r="C9" s="7" t="inlineStr">
        <is>
          <t>$/MMBTU</t>
        </is>
      </c>
      <c r="D9" s="7" t="inlineStr">
        <is>
          <t>rev03 assumptions</t>
        </is>
      </c>
    </row>
    <row r="10">
      <c r="A10" s="7" t="inlineStr">
        <is>
          <t>NG LHV</t>
        </is>
      </c>
      <c r="B10" s="7" t="n">
        <v>21.5</v>
      </c>
      <c r="C10" s="7" t="inlineStr">
        <is>
          <t>MMBTU/ton</t>
        </is>
      </c>
      <c r="D10" s="7" t="inlineStr">
        <is>
          <t>Standard value for pipeline NG</t>
        </is>
      </c>
    </row>
    <row r="11">
      <c r="A11" s="7" t="inlineStr">
        <is>
          <t>Operating Hours</t>
        </is>
      </c>
      <c r="B11" s="7" t="n">
        <v>8000</v>
      </c>
      <c r="C11" s="7" t="inlineStr">
        <is>
          <t>hr/year</t>
        </is>
      </c>
      <c r="D11" s="7" t="inlineStr">
        <is>
          <t>Standard</t>
        </is>
      </c>
    </row>
    <row r="13">
      <c r="A13" s="5" t="inlineStr">
        <is>
          <t>HEAT CONTENT LOST BY DIVERTED STREAM</t>
        </is>
      </c>
    </row>
    <row r="14">
      <c r="A14" s="8" t="inlineStr">
        <is>
          <t>Stream</t>
        </is>
      </c>
      <c r="B14" s="8" t="inlineStr">
        <is>
          <t>Annual Volume (t/yr)</t>
        </is>
      </c>
      <c r="C14" s="8" t="inlineStr">
        <is>
          <t>Stream LHV (MMBTU/t)</t>
        </is>
      </c>
      <c r="D14" s="8" t="inlineStr">
        <is>
          <t>Heat Lost (MMBTU/yr)</t>
        </is>
      </c>
      <c r="E14" s="8" t="inlineStr">
        <is>
          <t>NG Makeup (tons)</t>
        </is>
      </c>
      <c r="F14" s="8" t="inlineStr">
        <is>
          <t>NG Cost ($)</t>
        </is>
      </c>
      <c r="G14" s="8" t="inlineStr">
        <is>
          <t>Notes</t>
        </is>
      </c>
    </row>
    <row r="15">
      <c r="A15" s="7" t="inlineStr">
        <is>
          <t>H2 Offgas</t>
        </is>
      </c>
      <c r="B15" s="9" t="n">
        <v>34000</v>
      </c>
      <c r="C15" s="9" t="n">
        <v>52.8</v>
      </c>
      <c r="D15" s="9" t="n">
        <v>1795200</v>
      </c>
      <c r="E15" s="9" t="n">
        <v>83497.67441860466</v>
      </c>
      <c r="F15" s="10" t="n">
        <v>8527200</v>
      </c>
      <c r="G15" s="7" t="inlineStr">
        <is>
          <t>87.5% H2 (LHV=51.6) + 10% CH4 (LHV=21.5)</t>
        </is>
      </c>
    </row>
    <row r="16">
      <c r="A16" s="7" t="inlineStr">
        <is>
          <t>Methane Offgas</t>
        </is>
      </c>
      <c r="B16" s="9" t="n">
        <v>30000</v>
      </c>
      <c r="C16" s="9" t="n">
        <v>22.5</v>
      </c>
      <c r="D16" s="9" t="n">
        <v>675000</v>
      </c>
      <c r="E16" s="9" t="n">
        <v>31395.3488372093</v>
      </c>
      <c r="F16" s="10" t="n">
        <v>3206250</v>
      </c>
      <c r="G16" s="7" t="inlineStr">
        <is>
          <t>79% CH4 (LHV=21.5) + 19.5% H2 (LHV=51.6)</t>
        </is>
      </c>
    </row>
    <row r="17">
      <c r="A17" s="7" t="inlineStr">
        <is>
          <t>C3 Stream</t>
        </is>
      </c>
      <c r="B17" s="9" t="n">
        <v>20000</v>
      </c>
      <c r="C17" s="9" t="n">
        <v>19.5</v>
      </c>
      <c r="D17" s="9" t="n">
        <v>390000</v>
      </c>
      <c r="E17" s="9" t="n">
        <v>18139.53488372093</v>
      </c>
      <c r="F17" s="10" t="n">
        <v>1852500</v>
      </c>
      <c r="G17" s="7" t="inlineStr">
        <is>
          <t>72% C3= (LHV=19.7) + 26% C3 (LHV=19.9)</t>
        </is>
      </c>
    </row>
    <row r="18">
      <c r="A18" s="7" t="inlineStr">
        <is>
          <t>C4 Stream</t>
        </is>
      </c>
      <c r="B18" s="9" t="n">
        <v>5600</v>
      </c>
      <c r="C18" s="9" t="n">
        <v>18.5</v>
      </c>
      <c r="D18" s="9" t="n">
        <v>103600</v>
      </c>
      <c r="E18" s="9" t="n">
        <v>4818.604651162791</v>
      </c>
      <c r="F18" s="10" t="n">
        <v>492100</v>
      </c>
      <c r="G18" s="7" t="inlineStr">
        <is>
          <t>Mixed butanes/butenes</t>
        </is>
      </c>
    </row>
    <row r="19">
      <c r="A19" s="7" t="inlineStr">
        <is>
          <t>Pyrolysis Gasoline</t>
        </is>
      </c>
      <c r="B19" s="9" t="n">
        <v>1280</v>
      </c>
      <c r="C19" s="9" t="n">
        <v>17.5</v>
      </c>
      <c r="D19" s="9" t="n">
        <v>22400</v>
      </c>
      <c r="E19" s="9" t="n">
        <v>1041.860465116279</v>
      </c>
      <c r="F19" s="10" t="n">
        <v>106400</v>
      </c>
      <c r="G19" s="7" t="inlineStr">
        <is>
          <t>Approximate for aromatics-rich stream</t>
        </is>
      </c>
    </row>
    <row r="20">
      <c r="A20" s="11" t="inlineStr">
        <is>
          <t>TOTAL</t>
        </is>
      </c>
      <c r="B20" s="12" t="n">
        <v>90880</v>
      </c>
      <c r="C20" s="11" t="n"/>
      <c r="D20" s="12" t="n">
        <v>2986200</v>
      </c>
      <c r="E20" s="12" t="n">
        <v>138893.023255814</v>
      </c>
      <c r="F20" s="13" t="n">
        <v>14184450</v>
      </c>
      <c r="G20" s="11" t="n"/>
    </row>
    <row r="23">
      <c r="A23" s="5" t="inlineStr">
        <is>
          <t>SUMMARY</t>
        </is>
      </c>
    </row>
    <row r="24">
      <c r="A24" s="7" t="inlineStr">
        <is>
          <t>Total Heat Content Lost</t>
        </is>
      </c>
      <c r="B24" s="7" t="inlineStr">
        <is>
          <t>2,986,200</t>
        </is>
      </c>
      <c r="C24" s="7" t="inlineStr">
        <is>
          <t>MMBTU/year</t>
        </is>
      </c>
    </row>
    <row r="25">
      <c r="A25" s="7" t="inlineStr">
        <is>
          <t>NG Required to Replace</t>
        </is>
      </c>
      <c r="B25" s="7" t="inlineStr">
        <is>
          <t>138,893</t>
        </is>
      </c>
      <c r="C25" s="7" t="inlineStr">
        <is>
          <t>tons/year</t>
        </is>
      </c>
    </row>
    <row r="26">
      <c r="A26" s="7" t="inlineStr">
        <is>
          <t>Total NG Makeup Cost</t>
        </is>
      </c>
      <c r="B26" s="7" t="inlineStr">
        <is>
          <t>$14,184,450</t>
        </is>
      </c>
      <c r="C26" s="7" t="inlineStr">
        <is>
          <t>/year</t>
        </is>
      </c>
    </row>
    <row r="28">
      <c r="A28" s="3" t="inlineStr">
        <is>
          <t>IMPORTANT NOTE:</t>
        </is>
      </c>
    </row>
    <row r="29">
      <c r="A29" t="inlineStr">
        <is>
          <t>The CO2 stream (Sheet 9) is NOT included in NG makeup calculation because it is</t>
        </is>
      </c>
    </row>
    <row r="30">
      <c r="A30" t="inlineStr">
        <is>
          <t>currently incinerated, not used as fuel. Recovering CO2 does not affect fuel balance.</t>
        </is>
      </c>
    </row>
  </sheetData>
  <mergeCells count="4">
    <mergeCell ref="A23:D23"/>
    <mergeCell ref="A13:H13"/>
    <mergeCell ref="A1:F1"/>
    <mergeCell ref="A7:F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5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4" t="inlineStr">
        <is>
          <t>ETHYDCO → MIDOR INTEGRATION FINAL SUMMARY</t>
        </is>
      </c>
    </row>
    <row r="2">
      <c r="A2" s="15" t="inlineStr">
        <is>
          <t>FUEL STREAMS RECOVERY VALUE ANALYSIS</t>
        </is>
      </c>
    </row>
    <row r="4">
      <c r="A4" s="5" t="inlineStr">
        <is>
          <t>EXECUTIVE SUMMARY</t>
        </is>
      </c>
    </row>
    <row r="5">
      <c r="A5" s="8" t="inlineStr">
        <is>
          <t>Stream</t>
        </is>
      </c>
      <c r="B5" s="8" t="inlineStr">
        <is>
          <t>Annual Volume</t>
        </is>
      </c>
      <c r="C5" s="8" t="inlineStr">
        <is>
          <t>Product</t>
        </is>
      </c>
      <c r="D5" s="8" t="inlineStr">
        <is>
          <t>Gross Value</t>
        </is>
      </c>
      <c r="E5" s="8" t="inlineStr">
        <is>
          <t>NG Makeup Cost</t>
        </is>
      </c>
      <c r="F5" s="8" t="inlineStr">
        <is>
          <t>Processing Cost</t>
        </is>
      </c>
      <c r="G5" s="8" t="inlineStr">
        <is>
          <t>NET VALUE</t>
        </is>
      </c>
    </row>
    <row r="6">
      <c r="A6" s="7" t="inlineStr">
        <is>
          <t>H2 Offgas</t>
        </is>
      </c>
      <c r="B6" s="7" t="inlineStr">
        <is>
          <t>34,000 t/yr stream</t>
        </is>
      </c>
      <c r="C6" s="7" t="inlineStr">
        <is>
          <t>2,975 t/yr H2</t>
        </is>
      </c>
      <c r="D6" s="10" t="n">
        <v>5950000</v>
      </c>
      <c r="E6" s="10" t="n">
        <v>8569200</v>
      </c>
      <c r="F6" s="10" t="n">
        <v>446250</v>
      </c>
      <c r="G6" s="10" t="n">
        <v>-3065450</v>
      </c>
    </row>
    <row r="7">
      <c r="A7" s="7" t="inlineStr">
        <is>
          <t>Methane Offgas</t>
        </is>
      </c>
      <c r="B7" s="7" t="inlineStr">
        <is>
          <t>30,000 t/yr</t>
        </is>
      </c>
      <c r="C7" s="7" t="inlineStr">
        <is>
          <t>SMR Feed Value</t>
        </is>
      </c>
      <c r="D7" s="10" t="n">
        <v>3206250</v>
      </c>
      <c r="E7" s="10" t="n">
        <v>6412500</v>
      </c>
      <c r="F7" s="10" t="n">
        <v>0</v>
      </c>
      <c r="G7" s="10" t="n">
        <v>-3206250</v>
      </c>
    </row>
    <row r="8">
      <c r="A8" s="7" t="inlineStr">
        <is>
          <t>C3 Stream</t>
        </is>
      </c>
      <c r="B8" s="7" t="inlineStr">
        <is>
          <t>20,000 t/yr</t>
        </is>
      </c>
      <c r="C8" s="7" t="inlineStr">
        <is>
          <t>C3=: 13,920 + C3: 5,480 t/yr</t>
        </is>
      </c>
      <c r="D8" s="10" t="n">
        <v>16540200</v>
      </c>
      <c r="E8" s="10" t="n">
        <v>1852500</v>
      </c>
      <c r="F8" s="10" t="n">
        <v>500000</v>
      </c>
      <c r="G8" s="10" t="n">
        <v>14187700</v>
      </c>
    </row>
    <row r="9">
      <c r="A9" s="7" t="inlineStr">
        <is>
          <t>C4 Stream</t>
        </is>
      </c>
      <c r="B9" s="7" t="inlineStr">
        <is>
          <t>5,600 t/yr</t>
        </is>
      </c>
      <c r="C9" s="7" t="inlineStr">
        <is>
          <t>LPG/Butenes</t>
        </is>
      </c>
      <c r="D9" s="10" t="n">
        <v>4082400</v>
      </c>
      <c r="E9" s="10" t="n">
        <v>492100</v>
      </c>
      <c r="F9" s="10" t="n">
        <v>100000</v>
      </c>
      <c r="G9" s="10" t="n">
        <v>3490300</v>
      </c>
    </row>
    <row r="10">
      <c r="A10" s="7" t="inlineStr">
        <is>
          <t>Pyrolysis Gasoline</t>
        </is>
      </c>
      <c r="B10" s="7" t="inlineStr">
        <is>
          <t>1,280 t/yr</t>
        </is>
      </c>
      <c r="C10" s="7" t="inlineStr">
        <is>
          <t>Gasoline Blend</t>
        </is>
      </c>
      <c r="D10" s="10" t="n">
        <v>793600</v>
      </c>
      <c r="E10" s="10" t="n">
        <v>106400</v>
      </c>
      <c r="F10" s="10" t="n">
        <v>50000</v>
      </c>
      <c r="G10" s="10" t="n">
        <v>637200</v>
      </c>
    </row>
    <row r="11">
      <c r="A11" s="7" t="inlineStr">
        <is>
          <t>CO2 (Amine Stripper)</t>
        </is>
      </c>
      <c r="B11" s="7" t="inlineStr">
        <is>
          <t>122,400 t/yr CO2</t>
        </is>
      </c>
      <c r="C11" s="7" t="inlineStr">
        <is>
          <t>Methanol Synergy</t>
        </is>
      </c>
      <c r="D11" s="10" t="n">
        <v>7344000</v>
      </c>
      <c r="E11" s="10" t="n">
        <v>0</v>
      </c>
      <c r="F11" s="10" t="n">
        <v>500000</v>
      </c>
      <c r="G11" s="10" t="n">
        <v>6844000</v>
      </c>
    </row>
    <row r="12">
      <c r="A12" s="16" t="inlineStr">
        <is>
          <t>TOTAL</t>
        </is>
      </c>
      <c r="B12" s="16" t="n"/>
      <c r="C12" s="16" t="n"/>
      <c r="D12" s="17" t="n">
        <v>37916450</v>
      </c>
      <c r="E12" s="17" t="n">
        <v>17432700</v>
      </c>
      <c r="F12" s="17" t="n">
        <v>1596250</v>
      </c>
      <c r="G12" s="17" t="n">
        <v>18887500</v>
      </c>
    </row>
    <row r="14">
      <c r="A14" s="5" t="inlineStr">
        <is>
          <t>KEY FINDINGS</t>
        </is>
      </c>
    </row>
    <row r="15">
      <c r="A15" t="inlineStr">
        <is>
          <t>1. POSITIVE VALUE STREAMS (Worth Recovering):</t>
        </is>
      </c>
    </row>
    <row r="16">
      <c r="A16" t="inlineStr">
        <is>
          <t xml:space="preserve">   • C3 Stream: $14.2M/year NET - Propylene (70%) is being burned as fuel! HIGHEST PRIORITY</t>
        </is>
      </c>
    </row>
    <row r="17">
      <c r="A17" t="inlineStr">
        <is>
          <t xml:space="preserve">   • CO2 Utilization: $6.8M/year NET - Synergy with rev03 methanol synthesis</t>
        </is>
      </c>
    </row>
    <row r="18">
      <c r="A18" t="inlineStr">
        <is>
          <t xml:space="preserve">   • C4 Stream: $3.5M/year NET - Butanes/butenes valuable for LPG or MTBE</t>
        </is>
      </c>
    </row>
    <row r="19">
      <c r="A19" t="inlineStr">
        <is>
          <t xml:space="preserve">   • Pyrolysis Gasoline: $0.6M/year NET - Small volume but positive value</t>
        </is>
      </c>
    </row>
    <row r="20">
      <c r="A20" t="inlineStr"/>
    </row>
    <row r="21">
      <c r="A21" t="inlineStr">
        <is>
          <t>2. NEGATIVE VALUE STREAMS (Keep as Fuel):</t>
        </is>
      </c>
    </row>
    <row r="22">
      <c r="A22" t="inlineStr">
        <is>
          <t xml:space="preserve">   • H2 Offgas: -$3.1M/year NET - Despite 87% mol% H2, only 8.4 wt% H2 due to MW difference</t>
        </is>
      </c>
    </row>
    <row r="23">
      <c r="A23" t="inlineStr">
        <is>
          <t xml:space="preserve">   • Methane Offgas: -$3.2M/year NET - Better value as internal fuel than SMR feed</t>
        </is>
      </c>
    </row>
    <row r="24">
      <c r="A24" t="inlineStr"/>
    </row>
    <row r="25">
      <c r="A25" t="inlineStr">
        <is>
          <t>3. RECOMMENDED ACTIONS:</t>
        </is>
      </c>
    </row>
    <row r="26">
      <c r="A26" t="inlineStr">
        <is>
          <t xml:space="preserve">   • PRIORITY 1: Recover C3 stream - Install C3 splitter or sell mixed stream</t>
        </is>
      </c>
    </row>
    <row r="27">
      <c r="A27" t="inlineStr">
        <is>
          <t xml:space="preserve">   • PRIORITY 2: Utilize CO2 for methanol synthesis (synergy with rev03 Phase 3)</t>
        </is>
      </c>
    </row>
    <row r="28">
      <c r="A28" t="inlineStr">
        <is>
          <t xml:space="preserve">   • PRIORITY 3: Recover C4 stream for LPG blending</t>
        </is>
      </c>
    </row>
    <row r="29">
      <c r="A29" t="inlineStr">
        <is>
          <t xml:space="preserve">   • DO NOT RECOVER: H2 offgas and Methane offgas - keep as ETHYDCO fuel</t>
        </is>
      </c>
    </row>
    <row r="32">
      <c r="A32" s="18" t="inlineStr">
        <is>
          <t>REVISED TOTAL (Only Positive Value Streams)</t>
        </is>
      </c>
    </row>
    <row r="33">
      <c r="A33" s="8" t="inlineStr">
        <is>
          <t>Stream</t>
        </is>
      </c>
      <c r="B33" s="8" t="inlineStr">
        <is>
          <t>Annual Volume</t>
        </is>
      </c>
      <c r="C33" s="8" t="inlineStr">
        <is>
          <t>Product</t>
        </is>
      </c>
      <c r="D33" s="8" t="inlineStr">
        <is>
          <t>Gross Value</t>
        </is>
      </c>
      <c r="E33" s="8" t="inlineStr">
        <is>
          <t>NG Makeup Cost</t>
        </is>
      </c>
      <c r="F33" s="8" t="inlineStr">
        <is>
          <t>Processing Cost</t>
        </is>
      </c>
      <c r="G33" s="8" t="inlineStr">
        <is>
          <t>NET VALUE</t>
        </is>
      </c>
    </row>
    <row r="34">
      <c r="A34" s="7" t="inlineStr">
        <is>
          <t>C3 Stream</t>
        </is>
      </c>
      <c r="B34" s="7" t="inlineStr">
        <is>
          <t>20,000 t/yr</t>
        </is>
      </c>
      <c r="C34" s="7" t="inlineStr">
        <is>
          <t>Propylene + Propane</t>
        </is>
      </c>
      <c r="D34" s="10" t="n">
        <v>16540200</v>
      </c>
      <c r="E34" s="10" t="n">
        <v>1852500</v>
      </c>
      <c r="F34" s="10" t="n">
        <v>500000</v>
      </c>
      <c r="G34" s="10" t="n">
        <v>14187700</v>
      </c>
    </row>
    <row r="35">
      <c r="A35" s="7" t="inlineStr">
        <is>
          <t>C4 Stream</t>
        </is>
      </c>
      <c r="B35" s="7" t="inlineStr">
        <is>
          <t>5,600 t/yr</t>
        </is>
      </c>
      <c r="C35" s="7" t="inlineStr">
        <is>
          <t>LPG/Butenes</t>
        </is>
      </c>
      <c r="D35" s="10" t="n">
        <v>4082400</v>
      </c>
      <c r="E35" s="10" t="n">
        <v>492100</v>
      </c>
      <c r="F35" s="10" t="n">
        <v>100000</v>
      </c>
      <c r="G35" s="10" t="n">
        <v>3490300</v>
      </c>
    </row>
    <row r="36">
      <c r="A36" s="7" t="inlineStr">
        <is>
          <t>Pyrolysis Gasoline</t>
        </is>
      </c>
      <c r="B36" s="7" t="inlineStr">
        <is>
          <t>1,280 t/yr</t>
        </is>
      </c>
      <c r="C36" s="7" t="inlineStr">
        <is>
          <t>Gasoline Blend</t>
        </is>
      </c>
      <c r="D36" s="10" t="n">
        <v>793600</v>
      </c>
      <c r="E36" s="10" t="n">
        <v>106400</v>
      </c>
      <c r="F36" s="10" t="n">
        <v>50000</v>
      </c>
      <c r="G36" s="10" t="n">
        <v>637200</v>
      </c>
    </row>
    <row r="37">
      <c r="A37" s="7" t="inlineStr">
        <is>
          <t>CO2 Utilization</t>
        </is>
      </c>
      <c r="B37" s="7" t="inlineStr">
        <is>
          <t>122,400 t/yr</t>
        </is>
      </c>
      <c r="C37" s="7" t="inlineStr">
        <is>
          <t>Methanol Synergy</t>
        </is>
      </c>
      <c r="D37" s="10" t="n">
        <v>7344000</v>
      </c>
      <c r="E37" s="10" t="n">
        <v>0</v>
      </c>
      <c r="F37" s="10" t="n">
        <v>500000</v>
      </c>
      <c r="G37" s="10" t="n">
        <v>6844000</v>
      </c>
    </row>
    <row r="38">
      <c r="A38" s="19" t="inlineStr">
        <is>
          <t>RECOMMENDED TOTAL</t>
        </is>
      </c>
      <c r="B38" s="19" t="n"/>
      <c r="C38" s="19" t="n"/>
      <c r="D38" s="20" t="n">
        <v>28760200</v>
      </c>
      <c r="E38" s="20" t="n">
        <v>2451000</v>
      </c>
      <c r="F38" s="20" t="n">
        <v>1150000</v>
      </c>
      <c r="G38" s="20" t="n">
        <v>25159200</v>
      </c>
    </row>
    <row r="41">
      <c r="A41" s="5" t="inlineStr">
        <is>
          <t>INTEGRATION VALUE COMPARISON</t>
        </is>
      </c>
    </row>
    <row r="42">
      <c r="A42" s="8" t="inlineStr">
        <is>
          <t>Direction</t>
        </is>
      </c>
      <c r="B42" s="8" t="inlineStr">
        <is>
          <t>Value</t>
        </is>
      </c>
      <c r="C42" s="8" t="inlineStr">
        <is>
          <t>Source</t>
        </is>
      </c>
    </row>
    <row r="43">
      <c r="A43" s="7" t="inlineStr">
        <is>
          <t>MIDOR → ETHYDCO (rev03)</t>
        </is>
      </c>
      <c r="B43" s="7" t="inlineStr">
        <is>
          <t>$196,100,000/year</t>
        </is>
      </c>
      <c r="C43" s="7" t="inlineStr">
        <is>
          <t>rev03 Final Summary</t>
        </is>
      </c>
    </row>
    <row r="44">
      <c r="A44" s="7" t="inlineStr">
        <is>
          <t>ETHYDCO → MIDOR (This Analysis)</t>
        </is>
      </c>
      <c r="B44" s="7" t="inlineStr">
        <is>
          <t>$25,159,200/year</t>
        </is>
      </c>
      <c r="C44" s="7" t="inlineStr">
        <is>
          <t>Sheet 11 Recommended Total</t>
        </is>
      </c>
    </row>
    <row r="45">
      <c r="A45" s="21" t="inlineStr">
        <is>
          <t>TOTAL CIRCULAR INTEGRATION</t>
        </is>
      </c>
      <c r="B45" s="21" t="inlineStr">
        <is>
          <t>$221,259,200/year</t>
        </is>
      </c>
      <c r="C45" s="21" t="inlineStr">
        <is>
          <t>Combined</t>
        </is>
      </c>
    </row>
    <row r="48">
      <c r="A48" s="5" t="inlineStr">
        <is>
          <t>INFRASTRUCTURE REQUIREMENTS</t>
        </is>
      </c>
    </row>
    <row r="49">
      <c r="A49" t="inlineStr">
        <is>
          <t>• Distance: 17-30 km pipeline infrastructure required between MIDOR and ETHYDCO</t>
        </is>
      </c>
    </row>
    <row r="50">
      <c r="A50" t="inlineStr">
        <is>
          <t>• MIDOR has de-ethanizer and de-propanizer (NO C3 splitter) - may need investment for polymer-grade C3=</t>
        </is>
      </c>
    </row>
    <row r="51">
      <c r="A51" t="inlineStr">
        <is>
          <t>• ETHYDCO may need to increase NG imports from GASCO when fuel streams are diverted</t>
        </is>
      </c>
    </row>
    <row r="52">
      <c r="A52" t="inlineStr">
        <is>
          <t>• CO2 pipeline to connect ETHYDCO amine stripper to MIDOR methanol synthesis unit</t>
        </is>
      </c>
    </row>
  </sheetData>
  <mergeCells count="26">
    <mergeCell ref="A32:G32"/>
    <mergeCell ref="A14:G14"/>
    <mergeCell ref="A17:G17"/>
    <mergeCell ref="A22:G22"/>
    <mergeCell ref="A4:G4"/>
    <mergeCell ref="A20:G20"/>
    <mergeCell ref="A29:G29"/>
    <mergeCell ref="A52:G52"/>
    <mergeCell ref="A19:G19"/>
    <mergeCell ref="A28:G28"/>
    <mergeCell ref="A48:G48"/>
    <mergeCell ref="A24:G24"/>
    <mergeCell ref="A15:G15"/>
    <mergeCell ref="A49:G49"/>
    <mergeCell ref="A51:G51"/>
    <mergeCell ref="A1:G1"/>
    <mergeCell ref="A16:G16"/>
    <mergeCell ref="A25:G25"/>
    <mergeCell ref="A41:G41"/>
    <mergeCell ref="A18:G18"/>
    <mergeCell ref="A27:G27"/>
    <mergeCell ref="A21:G21"/>
    <mergeCell ref="A50:G50"/>
    <mergeCell ref="A26:G26"/>
    <mergeCell ref="A2:G2"/>
    <mergeCell ref="A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2025-12-07T17:46:59Z</dcterms:created>
  <dcterms:modified xmlns:dcterms="http://purl.org/dc/terms/" xmlns:xsi="http://www.w3.org/2001/XMLSchema-instance" xsi:type="dcterms:W3CDTF">2025-12-07T17:51:15Z</dcterms:modified>
</cp:coreProperties>
</file>