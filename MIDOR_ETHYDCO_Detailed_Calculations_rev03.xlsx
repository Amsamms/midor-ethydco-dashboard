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2dae05a34ba0613/Desktop/Integration/latest/"/>
    </mc:Choice>
  </mc:AlternateContent>
  <xr:revisionPtr revIDLastSave="267" documentId="13_ncr:1_{CF1CB59C-6857-4632-ADBC-C945F82FEC41}" xr6:coauthVersionLast="47" xr6:coauthVersionMax="47" xr10:uidLastSave="{1ED1AA0D-129A-4919-A9E3-B35C2A791C5C}"/>
  <bookViews>
    <workbookView xWindow="-108" yWindow="-108" windowWidth="23256" windowHeight="12456" activeTab="3" xr2:uid="{00000000-000D-0000-FFFF-FFFF00000000}"/>
  </bookViews>
  <sheets>
    <sheet name="mol% to wt% Conversions" sheetId="11" r:id="rId1"/>
    <sheet name="Heat Content Calculations" sheetId="12" r:id="rId2"/>
    <sheet name="1. ALL INPUT DATA" sheetId="1" r:id="rId3"/>
    <sheet name="2. Stream Calculations" sheetId="3" r:id="rId4"/>
    <sheet name="3. Calc 1 - LPG &amp; C5+" sheetId="4" r:id="rId5"/>
    <sheet name="4. Calc 2 - H2 Recovery" sheetId="5" r:id="rId6"/>
    <sheet name="5. Calc 3 - C2 Balance" sheetId="6" r:id="rId7"/>
    <sheet name="6. Calc 4 - CO &amp; CO2" sheetId="7" r:id="rId8"/>
    <sheet name="7. Calc 5 - Methanol" sheetId="8" r:id="rId9"/>
    <sheet name="9. Final Summary" sheetId="9" state="hidden" r:id="rId10"/>
    <sheet name="8. Calc 6 - Blend &amp; MTO" sheetId="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5" l="1"/>
  <c r="B16" i="5"/>
  <c r="B14" i="5"/>
  <c r="B16" i="4"/>
  <c r="B14" i="4"/>
  <c r="B15" i="4"/>
  <c r="E395" i="12"/>
  <c r="D386" i="12"/>
  <c r="B386" i="12"/>
  <c r="C386" i="12" s="1"/>
  <c r="E386" i="12" s="1"/>
  <c r="D385" i="12"/>
  <c r="B385" i="12"/>
  <c r="C385" i="12" s="1"/>
  <c r="E385" i="12" s="1"/>
  <c r="D384" i="12"/>
  <c r="B384" i="12"/>
  <c r="C384" i="12" s="1"/>
  <c r="E384" i="12" s="1"/>
  <c r="D383" i="12"/>
  <c r="B383" i="12"/>
  <c r="C383" i="12" s="1"/>
  <c r="E383" i="12" s="1"/>
  <c r="D382" i="12"/>
  <c r="C382" i="12"/>
  <c r="E382" i="12" s="1"/>
  <c r="D381" i="12"/>
  <c r="C381" i="12"/>
  <c r="E381" i="12" s="1"/>
  <c r="D380" i="12"/>
  <c r="C380" i="12"/>
  <c r="E380" i="12" s="1"/>
  <c r="D379" i="12"/>
  <c r="C379" i="12"/>
  <c r="E379" i="12" s="1"/>
  <c r="D378" i="12"/>
  <c r="C378" i="12"/>
  <c r="E378" i="12" s="1"/>
  <c r="D377" i="12"/>
  <c r="C377" i="12"/>
  <c r="E377" i="12" s="1"/>
  <c r="D376" i="12"/>
  <c r="C376" i="12"/>
  <c r="E376" i="12" s="1"/>
  <c r="D375" i="12"/>
  <c r="E375" i="12" s="1"/>
  <c r="C375" i="12"/>
  <c r="D374" i="12"/>
  <c r="E374" i="12" s="1"/>
  <c r="C374" i="12"/>
  <c r="E373" i="12"/>
  <c r="D373" i="12"/>
  <c r="C373" i="12"/>
  <c r="E372" i="12"/>
  <c r="D372" i="12"/>
  <c r="C372" i="12"/>
  <c r="D371" i="12"/>
  <c r="C371" i="12"/>
  <c r="E371" i="12" s="1"/>
  <c r="B283" i="11"/>
  <c r="D282" i="11"/>
  <c r="E282" i="11" s="1"/>
  <c r="F282" i="11" s="1"/>
  <c r="G282" i="11" s="1"/>
  <c r="C282" i="11"/>
  <c r="D281" i="11"/>
  <c r="C281" i="11"/>
  <c r="E281" i="11" s="1"/>
  <c r="F281" i="11" s="1"/>
  <c r="G281" i="11" s="1"/>
  <c r="D280" i="11"/>
  <c r="E280" i="11" s="1"/>
  <c r="F280" i="11" s="1"/>
  <c r="G280" i="11" s="1"/>
  <c r="C280" i="11"/>
  <c r="E279" i="11"/>
  <c r="F279" i="11" s="1"/>
  <c r="G279" i="11" s="1"/>
  <c r="D279" i="11"/>
  <c r="C279" i="11"/>
  <c r="D278" i="11"/>
  <c r="E278" i="11" s="1"/>
  <c r="F278" i="11" s="1"/>
  <c r="G278" i="11" s="1"/>
  <c r="C278" i="11"/>
  <c r="D277" i="11"/>
  <c r="E277" i="11" s="1"/>
  <c r="F277" i="11" s="1"/>
  <c r="G277" i="11" s="1"/>
  <c r="C277" i="11"/>
  <c r="D276" i="11"/>
  <c r="E276" i="11" s="1"/>
  <c r="F276" i="11" s="1"/>
  <c r="G276" i="11" s="1"/>
  <c r="C276" i="11"/>
  <c r="D275" i="11"/>
  <c r="E275" i="11" s="1"/>
  <c r="F275" i="11" s="1"/>
  <c r="G275" i="11" s="1"/>
  <c r="C275" i="11"/>
  <c r="D274" i="11"/>
  <c r="E274" i="11" s="1"/>
  <c r="F274" i="11" s="1"/>
  <c r="G274" i="11" s="1"/>
  <c r="C274" i="11"/>
  <c r="D273" i="11"/>
  <c r="C273" i="11"/>
  <c r="E273" i="11" s="1"/>
  <c r="F273" i="11" s="1"/>
  <c r="G273" i="11" s="1"/>
  <c r="D272" i="11"/>
  <c r="E272" i="11" s="1"/>
  <c r="F272" i="11" s="1"/>
  <c r="G272" i="11" s="1"/>
  <c r="C272" i="11"/>
  <c r="E271" i="11"/>
  <c r="F271" i="11" s="1"/>
  <c r="G271" i="11" s="1"/>
  <c r="D271" i="11"/>
  <c r="C271" i="11"/>
  <c r="D270" i="11"/>
  <c r="E270" i="11" s="1"/>
  <c r="F270" i="11" s="1"/>
  <c r="G270" i="11" s="1"/>
  <c r="C270" i="11"/>
  <c r="E269" i="11"/>
  <c r="F269" i="11" s="1"/>
  <c r="G269" i="11" s="1"/>
  <c r="D269" i="11"/>
  <c r="C269" i="11"/>
  <c r="D268" i="11"/>
  <c r="E268" i="11" s="1"/>
  <c r="F268" i="11" s="1"/>
  <c r="G268" i="11" s="1"/>
  <c r="C268" i="11"/>
  <c r="D267" i="11"/>
  <c r="E267" i="11" s="1"/>
  <c r="C267" i="11"/>
  <c r="B13" i="4"/>
  <c r="D352" i="12"/>
  <c r="B352" i="12"/>
  <c r="C352" i="12" s="1"/>
  <c r="E352" i="12" s="1"/>
  <c r="D351" i="12"/>
  <c r="B351" i="12"/>
  <c r="C351" i="12" s="1"/>
  <c r="E351" i="12" s="1"/>
  <c r="D350" i="12"/>
  <c r="B350" i="12"/>
  <c r="C350" i="12" s="1"/>
  <c r="E350" i="12" s="1"/>
  <c r="D349" i="12"/>
  <c r="B349" i="12"/>
  <c r="C349" i="12" s="1"/>
  <c r="D348" i="12"/>
  <c r="B348" i="12"/>
  <c r="C348" i="12" s="1"/>
  <c r="E348" i="12" s="1"/>
  <c r="D347" i="12"/>
  <c r="B347" i="12"/>
  <c r="C347" i="12" s="1"/>
  <c r="E347" i="12" s="1"/>
  <c r="D346" i="12"/>
  <c r="C346" i="12"/>
  <c r="E346" i="12" s="1"/>
  <c r="D345" i="12"/>
  <c r="C345" i="12"/>
  <c r="D344" i="12"/>
  <c r="C344" i="12"/>
  <c r="E344" i="12" s="1"/>
  <c r="D343" i="12"/>
  <c r="C343" i="12"/>
  <c r="E343" i="12" s="1"/>
  <c r="D342" i="12"/>
  <c r="C342" i="12"/>
  <c r="D341" i="12"/>
  <c r="C341" i="12"/>
  <c r="D340" i="12"/>
  <c r="C340" i="12"/>
  <c r="E340" i="12" s="1"/>
  <c r="D339" i="12"/>
  <c r="C339" i="12"/>
  <c r="E339" i="12" s="1"/>
  <c r="D338" i="12"/>
  <c r="C338" i="12"/>
  <c r="E338" i="12" s="1"/>
  <c r="D337" i="12"/>
  <c r="C337" i="12"/>
  <c r="B260" i="11"/>
  <c r="B318" i="12" s="1"/>
  <c r="C318" i="12" s="1"/>
  <c r="D259" i="11"/>
  <c r="E259" i="11" s="1"/>
  <c r="C259" i="11"/>
  <c r="D258" i="11"/>
  <c r="C258" i="11"/>
  <c r="D257" i="11"/>
  <c r="C257" i="11"/>
  <c r="D256" i="11"/>
  <c r="C256" i="11"/>
  <c r="D255" i="11"/>
  <c r="C255" i="11"/>
  <c r="D254" i="11"/>
  <c r="E254" i="11" s="1"/>
  <c r="C254" i="11"/>
  <c r="D253" i="11"/>
  <c r="C253" i="11"/>
  <c r="D252" i="11"/>
  <c r="E252" i="11" s="1"/>
  <c r="C252" i="11"/>
  <c r="D251" i="11"/>
  <c r="E251" i="11" s="1"/>
  <c r="C251" i="11"/>
  <c r="D250" i="11"/>
  <c r="C250" i="11"/>
  <c r="D249" i="11"/>
  <c r="C249" i="11"/>
  <c r="E248" i="11"/>
  <c r="D248" i="11"/>
  <c r="C248" i="11"/>
  <c r="D247" i="11"/>
  <c r="C247" i="11"/>
  <c r="D246" i="11"/>
  <c r="C246" i="11"/>
  <c r="D245" i="11"/>
  <c r="C245" i="11"/>
  <c r="D244" i="11"/>
  <c r="C244" i="11"/>
  <c r="B237" i="11"/>
  <c r="D236" i="11"/>
  <c r="E236" i="11" s="1"/>
  <c r="C236" i="11"/>
  <c r="D235" i="11"/>
  <c r="C235" i="11"/>
  <c r="D234" i="11"/>
  <c r="C234" i="11"/>
  <c r="D233" i="11"/>
  <c r="C233" i="11"/>
  <c r="D232" i="11"/>
  <c r="C232" i="11"/>
  <c r="D231" i="11"/>
  <c r="C231" i="11"/>
  <c r="D230" i="11"/>
  <c r="C230" i="11"/>
  <c r="D229" i="11"/>
  <c r="C229" i="11"/>
  <c r="D228" i="11"/>
  <c r="C228" i="11"/>
  <c r="D227" i="11"/>
  <c r="C227" i="11"/>
  <c r="D226" i="11"/>
  <c r="C226" i="11"/>
  <c r="D225" i="11"/>
  <c r="C225" i="11"/>
  <c r="D224" i="11"/>
  <c r="E224" i="11" s="1"/>
  <c r="C224" i="11"/>
  <c r="D223" i="11"/>
  <c r="C223" i="11"/>
  <c r="D222" i="11"/>
  <c r="C222" i="11"/>
  <c r="D221" i="11"/>
  <c r="C221" i="11"/>
  <c r="D318" i="12"/>
  <c r="D317" i="12"/>
  <c r="B317" i="12"/>
  <c r="C317" i="12" s="1"/>
  <c r="E317" i="12" s="1"/>
  <c r="D316" i="12"/>
  <c r="B316" i="12"/>
  <c r="C316" i="12" s="1"/>
  <c r="D315" i="12"/>
  <c r="B315" i="12"/>
  <c r="C315" i="12" s="1"/>
  <c r="E315" i="12" s="1"/>
  <c r="D314" i="12"/>
  <c r="B314" i="12"/>
  <c r="C314" i="12" s="1"/>
  <c r="E314" i="12" s="1"/>
  <c r="D313" i="12"/>
  <c r="B313" i="12"/>
  <c r="C313" i="12" s="1"/>
  <c r="E313" i="12" s="1"/>
  <c r="D312" i="12"/>
  <c r="B312" i="12"/>
  <c r="C312" i="12" s="1"/>
  <c r="D311" i="12"/>
  <c r="B311" i="12"/>
  <c r="C311" i="12" s="1"/>
  <c r="E311" i="12" s="1"/>
  <c r="D310" i="12"/>
  <c r="C310" i="12"/>
  <c r="E310" i="12" s="1"/>
  <c r="D309" i="12"/>
  <c r="C309" i="12"/>
  <c r="E309" i="12" s="1"/>
  <c r="D308" i="12"/>
  <c r="C308" i="12"/>
  <c r="D307" i="12"/>
  <c r="C307" i="12"/>
  <c r="E307" i="12" s="1"/>
  <c r="D306" i="12"/>
  <c r="B306" i="12"/>
  <c r="C306" i="12" s="1"/>
  <c r="E306" i="12" s="1"/>
  <c r="D305" i="12"/>
  <c r="B305" i="12"/>
  <c r="C305" i="12" s="1"/>
  <c r="E305" i="12" s="1"/>
  <c r="D304" i="12"/>
  <c r="B304" i="12"/>
  <c r="C304" i="12" s="1"/>
  <c r="D303" i="12"/>
  <c r="B303" i="12"/>
  <c r="C47" i="3"/>
  <c r="B47" i="3"/>
  <c r="G8" i="3"/>
  <c r="D8" i="3"/>
  <c r="C8" i="3"/>
  <c r="G20" i="3"/>
  <c r="C17" i="3"/>
  <c r="D5" i="3"/>
  <c r="D6" i="3" s="1"/>
  <c r="G5" i="3"/>
  <c r="G6" i="3" s="1"/>
  <c r="C5" i="3"/>
  <c r="C6" i="3" s="1"/>
  <c r="B254" i="12"/>
  <c r="C254" i="12" s="1"/>
  <c r="B253" i="12"/>
  <c r="C253" i="12" s="1"/>
  <c r="B252" i="12"/>
  <c r="C252" i="12" s="1"/>
  <c r="B251" i="12"/>
  <c r="B250" i="12"/>
  <c r="C250" i="12" s="1"/>
  <c r="E250" i="12" s="1"/>
  <c r="B249" i="12"/>
  <c r="C249" i="12" s="1"/>
  <c r="B248" i="12"/>
  <c r="C248" i="12" s="1"/>
  <c r="E248" i="12" s="1"/>
  <c r="B247" i="12"/>
  <c r="C247" i="12" s="1"/>
  <c r="B246" i="12"/>
  <c r="C246" i="12" s="1"/>
  <c r="B245" i="12"/>
  <c r="C245" i="12" s="1"/>
  <c r="B244" i="12"/>
  <c r="C244" i="12" s="1"/>
  <c r="B243" i="12"/>
  <c r="C243" i="12" s="1"/>
  <c r="B242" i="12"/>
  <c r="C242" i="12" s="1"/>
  <c r="B241" i="12"/>
  <c r="C241" i="12" s="1"/>
  <c r="B240" i="12"/>
  <c r="C240" i="12" s="1"/>
  <c r="E240" i="12" s="1"/>
  <c r="B239" i="12"/>
  <c r="C239" i="12" s="1"/>
  <c r="D254" i="12"/>
  <c r="D253" i="12"/>
  <c r="D252" i="12"/>
  <c r="D251" i="12"/>
  <c r="C251" i="12"/>
  <c r="E251" i="12" s="1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B221" i="12"/>
  <c r="C221" i="12" s="1"/>
  <c r="B220" i="12"/>
  <c r="C220" i="12" s="1"/>
  <c r="B219" i="12"/>
  <c r="C219" i="12" s="1"/>
  <c r="B218" i="12"/>
  <c r="C218" i="12" s="1"/>
  <c r="B217" i="12"/>
  <c r="C217" i="12" s="1"/>
  <c r="B216" i="12"/>
  <c r="C216" i="12" s="1"/>
  <c r="B215" i="12"/>
  <c r="C215" i="12" s="1"/>
  <c r="B214" i="12"/>
  <c r="C214" i="12" s="1"/>
  <c r="B213" i="12"/>
  <c r="C213" i="12" s="1"/>
  <c r="B212" i="12"/>
  <c r="C212" i="12" s="1"/>
  <c r="B211" i="12"/>
  <c r="C211" i="12" s="1"/>
  <c r="B210" i="12"/>
  <c r="C210" i="12" s="1"/>
  <c r="B209" i="12"/>
  <c r="C209" i="12" s="1"/>
  <c r="B208" i="12"/>
  <c r="C208" i="12" s="1"/>
  <c r="B207" i="12"/>
  <c r="C207" i="12" s="1"/>
  <c r="B206" i="12"/>
  <c r="C206" i="12" s="1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B188" i="12"/>
  <c r="C188" i="12" s="1"/>
  <c r="B187" i="12"/>
  <c r="C187" i="12" s="1"/>
  <c r="B186" i="12"/>
  <c r="C186" i="12" s="1"/>
  <c r="B185" i="12"/>
  <c r="C185" i="12" s="1"/>
  <c r="B184" i="12"/>
  <c r="C184" i="12" s="1"/>
  <c r="B183" i="12"/>
  <c r="C183" i="12" s="1"/>
  <c r="B182" i="12"/>
  <c r="C182" i="12" s="1"/>
  <c r="B181" i="12"/>
  <c r="C181" i="12" s="1"/>
  <c r="B180" i="12"/>
  <c r="C180" i="12" s="1"/>
  <c r="B179" i="12"/>
  <c r="C179" i="12" s="1"/>
  <c r="B178" i="12"/>
  <c r="C178" i="12" s="1"/>
  <c r="B177" i="12"/>
  <c r="C177" i="12" s="1"/>
  <c r="B176" i="12"/>
  <c r="C176" i="12" s="1"/>
  <c r="B175" i="12"/>
  <c r="C175" i="12" s="1"/>
  <c r="B174" i="12"/>
  <c r="C174" i="12" s="1"/>
  <c r="B173" i="12"/>
  <c r="C173" i="12" s="1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B141" i="12"/>
  <c r="C141" i="12" s="1"/>
  <c r="B142" i="12"/>
  <c r="C142" i="12" s="1"/>
  <c r="B143" i="12"/>
  <c r="C143" i="12" s="1"/>
  <c r="B144" i="12"/>
  <c r="C144" i="12" s="1"/>
  <c r="B145" i="12"/>
  <c r="C145" i="12" s="1"/>
  <c r="B146" i="12"/>
  <c r="C146" i="12" s="1"/>
  <c r="B147" i="12"/>
  <c r="C147" i="12" s="1"/>
  <c r="B148" i="12"/>
  <c r="C148" i="12" s="1"/>
  <c r="B149" i="12"/>
  <c r="C149" i="12" s="1"/>
  <c r="E149" i="12" s="1"/>
  <c r="B150" i="12"/>
  <c r="C150" i="12" s="1"/>
  <c r="B151" i="12"/>
  <c r="C151" i="12" s="1"/>
  <c r="B152" i="12"/>
  <c r="C152" i="12" s="1"/>
  <c r="B153" i="12"/>
  <c r="C153" i="12" s="1"/>
  <c r="E153" i="12" s="1"/>
  <c r="B154" i="12"/>
  <c r="C154" i="12" s="1"/>
  <c r="B155" i="12"/>
  <c r="C155" i="12" s="1"/>
  <c r="B140" i="12"/>
  <c r="C140" i="12" s="1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B122" i="12"/>
  <c r="C122" i="12" s="1"/>
  <c r="B121" i="12"/>
  <c r="C121" i="12" s="1"/>
  <c r="B120" i="12"/>
  <c r="C120" i="12" s="1"/>
  <c r="B119" i="12"/>
  <c r="C119" i="12" s="1"/>
  <c r="D118" i="12"/>
  <c r="B118" i="12"/>
  <c r="C118" i="12" s="1"/>
  <c r="B117" i="12"/>
  <c r="C117" i="12" s="1"/>
  <c r="B116" i="12"/>
  <c r="C116" i="12" s="1"/>
  <c r="B115" i="12"/>
  <c r="C115" i="12" s="1"/>
  <c r="D114" i="12"/>
  <c r="B114" i="12"/>
  <c r="C114" i="12" s="1"/>
  <c r="B113" i="12"/>
  <c r="C113" i="12" s="1"/>
  <c r="B112" i="12"/>
  <c r="C112" i="12" s="1"/>
  <c r="B111" i="12"/>
  <c r="C111" i="12" s="1"/>
  <c r="B110" i="12"/>
  <c r="C110" i="12" s="1"/>
  <c r="B109" i="12"/>
  <c r="C109" i="12" s="1"/>
  <c r="B108" i="12"/>
  <c r="C108" i="12" s="1"/>
  <c r="B107" i="12"/>
  <c r="C107" i="12" s="1"/>
  <c r="D122" i="12"/>
  <c r="D121" i="12"/>
  <c r="D120" i="12"/>
  <c r="D119" i="12"/>
  <c r="D117" i="12"/>
  <c r="D116" i="12"/>
  <c r="D115" i="12"/>
  <c r="D113" i="12"/>
  <c r="D112" i="12"/>
  <c r="D111" i="12"/>
  <c r="D110" i="12"/>
  <c r="D109" i="12"/>
  <c r="D108" i="12"/>
  <c r="D107" i="12"/>
  <c r="B77" i="12"/>
  <c r="C77" i="12" s="1"/>
  <c r="B78" i="12"/>
  <c r="C78" i="12" s="1"/>
  <c r="B79" i="12"/>
  <c r="C79" i="12" s="1"/>
  <c r="B80" i="12"/>
  <c r="C80" i="12" s="1"/>
  <c r="B81" i="12"/>
  <c r="C81" i="12" s="1"/>
  <c r="B82" i="12"/>
  <c r="C82" i="12" s="1"/>
  <c r="B83" i="12"/>
  <c r="C83" i="12" s="1"/>
  <c r="B84" i="12"/>
  <c r="C84" i="12" s="1"/>
  <c r="B85" i="12"/>
  <c r="C85" i="12" s="1"/>
  <c r="B86" i="12"/>
  <c r="C86" i="12" s="1"/>
  <c r="B87" i="12"/>
  <c r="C87" i="12" s="1"/>
  <c r="B88" i="12"/>
  <c r="C88" i="12" s="1"/>
  <c r="B89" i="12"/>
  <c r="C89" i="12" s="1"/>
  <c r="B76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58" i="12"/>
  <c r="B58" i="12"/>
  <c r="C58" i="12" s="1"/>
  <c r="D57" i="12"/>
  <c r="B57" i="12"/>
  <c r="C57" i="12" s="1"/>
  <c r="E57" i="12" s="1"/>
  <c r="D56" i="12"/>
  <c r="B56" i="12"/>
  <c r="C56" i="12" s="1"/>
  <c r="D55" i="12"/>
  <c r="B55" i="12"/>
  <c r="C55" i="12" s="1"/>
  <c r="D54" i="12"/>
  <c r="B54" i="12"/>
  <c r="C54" i="12" s="1"/>
  <c r="D53" i="12"/>
  <c r="B53" i="12"/>
  <c r="C53" i="12" s="1"/>
  <c r="E53" i="12" s="1"/>
  <c r="D52" i="12"/>
  <c r="B52" i="12"/>
  <c r="C52" i="12" s="1"/>
  <c r="D51" i="12"/>
  <c r="B51" i="12"/>
  <c r="C51" i="12" s="1"/>
  <c r="D50" i="12"/>
  <c r="B50" i="12"/>
  <c r="C50" i="12" s="1"/>
  <c r="D49" i="12"/>
  <c r="B49" i="12"/>
  <c r="C49" i="12" s="1"/>
  <c r="E49" i="12" s="1"/>
  <c r="D48" i="12"/>
  <c r="B48" i="12"/>
  <c r="C48" i="12" s="1"/>
  <c r="D47" i="12"/>
  <c r="B47" i="12"/>
  <c r="C47" i="12" s="1"/>
  <c r="D46" i="12"/>
  <c r="B46" i="12"/>
  <c r="C46" i="12" s="1"/>
  <c r="D45" i="12"/>
  <c r="B45" i="12"/>
  <c r="C15" i="12"/>
  <c r="C14" i="12"/>
  <c r="C13" i="12"/>
  <c r="C12" i="12"/>
  <c r="C11" i="12"/>
  <c r="B48" i="1"/>
  <c r="B47" i="1"/>
  <c r="B45" i="1"/>
  <c r="B44" i="1"/>
  <c r="E387" i="12" l="1"/>
  <c r="E390" i="12" s="1"/>
  <c r="B387" i="12"/>
  <c r="C387" i="12"/>
  <c r="F267" i="11"/>
  <c r="G267" i="11" s="1"/>
  <c r="G283" i="11" s="1"/>
  <c r="E283" i="11"/>
  <c r="F283" i="11" s="1"/>
  <c r="D283" i="11"/>
  <c r="E308" i="12"/>
  <c r="E312" i="12"/>
  <c r="E316" i="12"/>
  <c r="E341" i="12"/>
  <c r="E345" i="12"/>
  <c r="E349" i="12"/>
  <c r="E142" i="12"/>
  <c r="E141" i="12"/>
  <c r="E150" i="12"/>
  <c r="E209" i="12"/>
  <c r="E241" i="12"/>
  <c r="E119" i="12"/>
  <c r="E114" i="12"/>
  <c r="E180" i="12"/>
  <c r="E252" i="12"/>
  <c r="E116" i="12"/>
  <c r="E148" i="12"/>
  <c r="E245" i="12"/>
  <c r="E253" i="12"/>
  <c r="E117" i="12"/>
  <c r="E174" i="12"/>
  <c r="E182" i="12"/>
  <c r="E207" i="12"/>
  <c r="E213" i="12"/>
  <c r="E118" i="12"/>
  <c r="E154" i="12"/>
  <c r="E146" i="12"/>
  <c r="E247" i="12"/>
  <c r="E184" i="12"/>
  <c r="E217" i="12"/>
  <c r="E145" i="12"/>
  <c r="E176" i="12"/>
  <c r="E152" i="12"/>
  <c r="E144" i="12"/>
  <c r="E177" i="12"/>
  <c r="E185" i="12"/>
  <c r="E249" i="12"/>
  <c r="E151" i="12"/>
  <c r="E211" i="12"/>
  <c r="E219" i="12"/>
  <c r="E120" i="12"/>
  <c r="E143" i="12"/>
  <c r="E186" i="12"/>
  <c r="E121" i="12"/>
  <c r="E187" i="12"/>
  <c r="E243" i="12"/>
  <c r="E318" i="12"/>
  <c r="E223" i="11"/>
  <c r="E235" i="11"/>
  <c r="E249" i="11"/>
  <c r="E232" i="11"/>
  <c r="E246" i="11"/>
  <c r="E250" i="11"/>
  <c r="E245" i="11"/>
  <c r="E229" i="11"/>
  <c r="E256" i="11"/>
  <c r="E227" i="11"/>
  <c r="E230" i="11"/>
  <c r="E233" i="11"/>
  <c r="E258" i="11"/>
  <c r="E231" i="11"/>
  <c r="E222" i="11"/>
  <c r="E234" i="11"/>
  <c r="E244" i="11"/>
  <c r="E253" i="11"/>
  <c r="E225" i="11"/>
  <c r="E247" i="11"/>
  <c r="E228" i="11"/>
  <c r="E155" i="12"/>
  <c r="E226" i="11"/>
  <c r="E257" i="11"/>
  <c r="E255" i="11"/>
  <c r="E342" i="12"/>
  <c r="C353" i="12"/>
  <c r="E337" i="12"/>
  <c r="B353" i="12"/>
  <c r="B319" i="12"/>
  <c r="C303" i="12"/>
  <c r="E303" i="12" s="1"/>
  <c r="D260" i="11"/>
  <c r="D237" i="11"/>
  <c r="E221" i="11"/>
  <c r="E304" i="12"/>
  <c r="C23" i="3"/>
  <c r="D22" i="3"/>
  <c r="D21" i="3"/>
  <c r="C20" i="3"/>
  <c r="D20" i="3"/>
  <c r="E178" i="12"/>
  <c r="E221" i="12"/>
  <c r="E147" i="12"/>
  <c r="E179" i="12"/>
  <c r="E214" i="12"/>
  <c r="E188" i="12"/>
  <c r="E215" i="12"/>
  <c r="E181" i="12"/>
  <c r="E218" i="12"/>
  <c r="E208" i="12"/>
  <c r="E216" i="12"/>
  <c r="E244" i="12"/>
  <c r="E242" i="12"/>
  <c r="E113" i="12"/>
  <c r="E175" i="12"/>
  <c r="E183" i="12"/>
  <c r="E210" i="12"/>
  <c r="E212" i="12"/>
  <c r="E220" i="12"/>
  <c r="E246" i="12"/>
  <c r="E254" i="12"/>
  <c r="B255" i="12"/>
  <c r="C255" i="12"/>
  <c r="E239" i="12"/>
  <c r="C222" i="12"/>
  <c r="E206" i="12"/>
  <c r="B222" i="12"/>
  <c r="C189" i="12"/>
  <c r="E173" i="12"/>
  <c r="B189" i="12"/>
  <c r="C156" i="12"/>
  <c r="E140" i="12"/>
  <c r="B156" i="12"/>
  <c r="E84" i="12"/>
  <c r="E115" i="12"/>
  <c r="E46" i="12"/>
  <c r="E50" i="12"/>
  <c r="E54" i="12"/>
  <c r="E58" i="12"/>
  <c r="E85" i="12"/>
  <c r="E77" i="12"/>
  <c r="E82" i="12"/>
  <c r="E109" i="12"/>
  <c r="E89" i="12"/>
  <c r="E111" i="12"/>
  <c r="E87" i="12"/>
  <c r="B59" i="12"/>
  <c r="E79" i="12"/>
  <c r="E47" i="12"/>
  <c r="E51" i="12"/>
  <c r="E55" i="12"/>
  <c r="E83" i="12"/>
  <c r="E48" i="12"/>
  <c r="E52" i="12"/>
  <c r="E56" i="12"/>
  <c r="E81" i="12"/>
  <c r="C45" i="12"/>
  <c r="E86" i="12"/>
  <c r="E78" i="12"/>
  <c r="E110" i="12"/>
  <c r="E108" i="12"/>
  <c r="E112" i="12"/>
  <c r="E122" i="12"/>
  <c r="E88" i="12"/>
  <c r="E80" i="12"/>
  <c r="E107" i="12"/>
  <c r="C123" i="12"/>
  <c r="B123" i="12"/>
  <c r="B90" i="12"/>
  <c r="C76" i="12"/>
  <c r="C90" i="12" s="1"/>
  <c r="B46" i="1"/>
  <c r="E392" i="12" l="1"/>
  <c r="E391" i="12"/>
  <c r="E396" i="12"/>
  <c r="E393" i="12"/>
  <c r="E353" i="12"/>
  <c r="E356" i="12" s="1"/>
  <c r="E357" i="12" s="1"/>
  <c r="E222" i="12"/>
  <c r="E225" i="12" s="1"/>
  <c r="E228" i="12" s="1"/>
  <c r="E156" i="12"/>
  <c r="E159" i="12" s="1"/>
  <c r="E260" i="11"/>
  <c r="E255" i="12"/>
  <c r="E258" i="12" s="1"/>
  <c r="E260" i="12" s="1"/>
  <c r="E319" i="12"/>
  <c r="E322" i="12" s="1"/>
  <c r="E325" i="12" s="1"/>
  <c r="C319" i="12"/>
  <c r="E237" i="11"/>
  <c r="E189" i="12"/>
  <c r="E192" i="12" s="1"/>
  <c r="E194" i="12" s="1"/>
  <c r="E76" i="12"/>
  <c r="E90" i="12" s="1"/>
  <c r="E93" i="12" s="1"/>
  <c r="E123" i="12"/>
  <c r="E126" i="12" s="1"/>
  <c r="E127" i="12" s="1"/>
  <c r="C59" i="12"/>
  <c r="E45" i="12"/>
  <c r="E59" i="12" s="1"/>
  <c r="E62" i="12" s="1"/>
  <c r="B176" i="11"/>
  <c r="D175" i="11"/>
  <c r="C175" i="11"/>
  <c r="D174" i="11"/>
  <c r="C174" i="11"/>
  <c r="D173" i="11"/>
  <c r="C173" i="11"/>
  <c r="D172" i="11"/>
  <c r="C172" i="11"/>
  <c r="D171" i="11"/>
  <c r="C171" i="11"/>
  <c r="D170" i="11"/>
  <c r="C170" i="11"/>
  <c r="D169" i="11"/>
  <c r="C169" i="11"/>
  <c r="D168" i="11"/>
  <c r="C168" i="11"/>
  <c r="D167" i="11"/>
  <c r="C167" i="11"/>
  <c r="D166" i="11"/>
  <c r="C166" i="11"/>
  <c r="D165" i="11"/>
  <c r="C165" i="11"/>
  <c r="E165" i="11" s="1"/>
  <c r="D164" i="11"/>
  <c r="C164" i="11"/>
  <c r="D163" i="11"/>
  <c r="C163" i="11"/>
  <c r="D162" i="11"/>
  <c r="C162" i="11"/>
  <c r="D161" i="11"/>
  <c r="C161" i="11"/>
  <c r="D160" i="11"/>
  <c r="C160" i="11"/>
  <c r="B154" i="11"/>
  <c r="D153" i="11"/>
  <c r="C153" i="11"/>
  <c r="D152" i="11"/>
  <c r="C152" i="11"/>
  <c r="D151" i="11"/>
  <c r="C151" i="11"/>
  <c r="D150" i="11"/>
  <c r="C150" i="11"/>
  <c r="D149" i="11"/>
  <c r="C149" i="11"/>
  <c r="D148" i="11"/>
  <c r="C148" i="11"/>
  <c r="D147" i="11"/>
  <c r="E147" i="11" s="1"/>
  <c r="C147" i="11"/>
  <c r="D146" i="11"/>
  <c r="C146" i="11"/>
  <c r="D145" i="11"/>
  <c r="C145" i="11"/>
  <c r="D144" i="11"/>
  <c r="C144" i="11"/>
  <c r="D143" i="11"/>
  <c r="E143" i="11" s="1"/>
  <c r="C143" i="11"/>
  <c r="D142" i="11"/>
  <c r="C142" i="11"/>
  <c r="D141" i="11"/>
  <c r="C141" i="11"/>
  <c r="D140" i="11"/>
  <c r="C140" i="11"/>
  <c r="D139" i="11"/>
  <c r="E139" i="11" s="1"/>
  <c r="C139" i="11"/>
  <c r="D138" i="11"/>
  <c r="C138" i="11"/>
  <c r="B132" i="11"/>
  <c r="D131" i="11"/>
  <c r="C131" i="11"/>
  <c r="E131" i="11" s="1"/>
  <c r="D130" i="11"/>
  <c r="C130" i="11"/>
  <c r="D129" i="11"/>
  <c r="C129" i="11"/>
  <c r="D128" i="11"/>
  <c r="C128" i="11"/>
  <c r="D127" i="11"/>
  <c r="C127" i="11"/>
  <c r="D126" i="11"/>
  <c r="C126" i="11"/>
  <c r="D125" i="11"/>
  <c r="C125" i="11"/>
  <c r="D124" i="11"/>
  <c r="C124" i="11"/>
  <c r="D123" i="11"/>
  <c r="C123" i="11"/>
  <c r="D122" i="11"/>
  <c r="C122" i="11"/>
  <c r="D121" i="11"/>
  <c r="C121" i="11"/>
  <c r="D120" i="11"/>
  <c r="C120" i="11"/>
  <c r="D119" i="11"/>
  <c r="C119" i="11"/>
  <c r="D118" i="11"/>
  <c r="E118" i="11" s="1"/>
  <c r="C118" i="11"/>
  <c r="D117" i="11"/>
  <c r="C117" i="11"/>
  <c r="D116" i="11"/>
  <c r="C116" i="11"/>
  <c r="B110" i="11"/>
  <c r="D109" i="11"/>
  <c r="C109" i="11"/>
  <c r="D108" i="11"/>
  <c r="C108" i="11"/>
  <c r="D107" i="11"/>
  <c r="C107" i="11"/>
  <c r="D106" i="11"/>
  <c r="C106" i="11"/>
  <c r="D105" i="11"/>
  <c r="C105" i="11"/>
  <c r="D104" i="11"/>
  <c r="C104" i="11"/>
  <c r="D103" i="11"/>
  <c r="C103" i="11"/>
  <c r="D102" i="11"/>
  <c r="C102" i="11"/>
  <c r="D101" i="11"/>
  <c r="C101" i="11"/>
  <c r="D100" i="11"/>
  <c r="C100" i="11"/>
  <c r="E100" i="11" s="1"/>
  <c r="D99" i="11"/>
  <c r="C99" i="11"/>
  <c r="D98" i="11"/>
  <c r="C98" i="11"/>
  <c r="D97" i="11"/>
  <c r="C97" i="11"/>
  <c r="D96" i="11"/>
  <c r="C96" i="11"/>
  <c r="D95" i="11"/>
  <c r="C95" i="11"/>
  <c r="D94" i="11"/>
  <c r="C94" i="11"/>
  <c r="B88" i="11"/>
  <c r="D87" i="11"/>
  <c r="C87" i="11"/>
  <c r="D86" i="11"/>
  <c r="C86" i="11"/>
  <c r="D85" i="11"/>
  <c r="C85" i="11"/>
  <c r="D84" i="11"/>
  <c r="C84" i="11"/>
  <c r="D83" i="11"/>
  <c r="C83" i="11"/>
  <c r="E83" i="11" s="1"/>
  <c r="D82" i="11"/>
  <c r="C82" i="11"/>
  <c r="D81" i="11"/>
  <c r="C81" i="11"/>
  <c r="D80" i="11"/>
  <c r="C80" i="11"/>
  <c r="D79" i="11"/>
  <c r="C79" i="11"/>
  <c r="D78" i="11"/>
  <c r="C78" i="11"/>
  <c r="D77" i="11"/>
  <c r="C77" i="11"/>
  <c r="D76" i="11"/>
  <c r="C76" i="11"/>
  <c r="D75" i="11"/>
  <c r="C75" i="11"/>
  <c r="D74" i="11"/>
  <c r="C74" i="11"/>
  <c r="D73" i="11"/>
  <c r="C73" i="11"/>
  <c r="D72" i="11"/>
  <c r="C72" i="11"/>
  <c r="B66" i="11"/>
  <c r="D65" i="11"/>
  <c r="C65" i="11"/>
  <c r="D64" i="11"/>
  <c r="C64" i="11"/>
  <c r="D63" i="11"/>
  <c r="C63" i="11"/>
  <c r="D62" i="11"/>
  <c r="C62" i="11"/>
  <c r="D61" i="11"/>
  <c r="E61" i="11" s="1"/>
  <c r="C61" i="11"/>
  <c r="D60" i="11"/>
  <c r="C60" i="11"/>
  <c r="D59" i="11"/>
  <c r="C59" i="11"/>
  <c r="D58" i="11"/>
  <c r="C58" i="11"/>
  <c r="D57" i="11"/>
  <c r="C57" i="11"/>
  <c r="D56" i="11"/>
  <c r="C56" i="11"/>
  <c r="D55" i="11"/>
  <c r="C55" i="11"/>
  <c r="D54" i="11"/>
  <c r="C54" i="11"/>
  <c r="D53" i="11"/>
  <c r="C53" i="11"/>
  <c r="D52" i="11"/>
  <c r="C52" i="11"/>
  <c r="B46" i="11"/>
  <c r="D45" i="11"/>
  <c r="C45" i="11"/>
  <c r="D44" i="11"/>
  <c r="E44" i="11" s="1"/>
  <c r="C44" i="11"/>
  <c r="D43" i="11"/>
  <c r="C43" i="11"/>
  <c r="D42" i="11"/>
  <c r="C42" i="11"/>
  <c r="D41" i="11"/>
  <c r="C41" i="11"/>
  <c r="D40" i="11"/>
  <c r="C40" i="11"/>
  <c r="D39" i="11"/>
  <c r="C39" i="11"/>
  <c r="D38" i="11"/>
  <c r="C38" i="11"/>
  <c r="D37" i="11"/>
  <c r="C37" i="11"/>
  <c r="D36" i="11"/>
  <c r="E36" i="11" s="1"/>
  <c r="C36" i="11"/>
  <c r="D35" i="11"/>
  <c r="C35" i="11"/>
  <c r="D34" i="11"/>
  <c r="C34" i="11"/>
  <c r="D33" i="11"/>
  <c r="C33" i="11"/>
  <c r="D32" i="11"/>
  <c r="C32" i="11"/>
  <c r="E398" i="12" l="1"/>
  <c r="E397" i="12"/>
  <c r="F396" i="12"/>
  <c r="G396" i="12" s="1"/>
  <c r="H396" i="12" s="1"/>
  <c r="E359" i="12"/>
  <c r="E358" i="12"/>
  <c r="E259" i="12"/>
  <c r="E261" i="12"/>
  <c r="E167" i="11"/>
  <c r="E33" i="11"/>
  <c r="E73" i="11"/>
  <c r="E117" i="11"/>
  <c r="E324" i="12"/>
  <c r="E79" i="11"/>
  <c r="E173" i="11"/>
  <c r="E41" i="11"/>
  <c r="E58" i="11"/>
  <c r="E94" i="11"/>
  <c r="E56" i="11"/>
  <c r="E60" i="11"/>
  <c r="E175" i="11"/>
  <c r="E81" i="11"/>
  <c r="E146" i="11"/>
  <c r="E98" i="11"/>
  <c r="E108" i="11"/>
  <c r="E102" i="11"/>
  <c r="E151" i="11"/>
  <c r="E77" i="11"/>
  <c r="E106" i="11"/>
  <c r="E122" i="11"/>
  <c r="E126" i="11"/>
  <c r="E130" i="11"/>
  <c r="E148" i="11"/>
  <c r="E152" i="11"/>
  <c r="E76" i="11"/>
  <c r="E109" i="11"/>
  <c r="E84" i="11"/>
  <c r="E119" i="11"/>
  <c r="E123" i="11"/>
  <c r="E144" i="11"/>
  <c r="E59" i="11"/>
  <c r="E105" i="11"/>
  <c r="E39" i="11"/>
  <c r="E124" i="11"/>
  <c r="E145" i="11"/>
  <c r="E153" i="11"/>
  <c r="E170" i="11"/>
  <c r="E174" i="11"/>
  <c r="E195" i="12"/>
  <c r="E43" i="11"/>
  <c r="E53" i="11"/>
  <c r="E82" i="11"/>
  <c r="E99" i="11"/>
  <c r="E103" i="11"/>
  <c r="E121" i="11"/>
  <c r="E125" i="11"/>
  <c r="E142" i="11"/>
  <c r="E150" i="11"/>
  <c r="E226" i="12"/>
  <c r="E323" i="12"/>
  <c r="E80" i="11"/>
  <c r="E227" i="12"/>
  <c r="E55" i="11"/>
  <c r="D46" i="11"/>
  <c r="E45" i="11"/>
  <c r="E54" i="11"/>
  <c r="E62" i="11"/>
  <c r="E75" i="11"/>
  <c r="E96" i="11"/>
  <c r="E104" i="11"/>
  <c r="E160" i="11"/>
  <c r="E164" i="11"/>
  <c r="E128" i="11"/>
  <c r="E32" i="11"/>
  <c r="E78" i="11"/>
  <c r="E85" i="11"/>
  <c r="E129" i="11"/>
  <c r="E141" i="11"/>
  <c r="E161" i="11"/>
  <c r="E168" i="11"/>
  <c r="E172" i="11"/>
  <c r="E160" i="12"/>
  <c r="D110" i="11"/>
  <c r="D66" i="11"/>
  <c r="D154" i="11"/>
  <c r="E161" i="12"/>
  <c r="E37" i="11"/>
  <c r="E40" i="11"/>
  <c r="E52" i="11"/>
  <c r="D88" i="11"/>
  <c r="E86" i="11"/>
  <c r="E95" i="11"/>
  <c r="E138" i="11"/>
  <c r="E149" i="11"/>
  <c r="E162" i="11"/>
  <c r="E169" i="11"/>
  <c r="E162" i="12"/>
  <c r="E35" i="11"/>
  <c r="E65" i="11"/>
  <c r="E63" i="11"/>
  <c r="E87" i="11"/>
  <c r="E163" i="11"/>
  <c r="E166" i="11"/>
  <c r="E101" i="11"/>
  <c r="E116" i="11"/>
  <c r="E327" i="12"/>
  <c r="E328" i="12" s="1"/>
  <c r="F328" i="12" s="1"/>
  <c r="G328" i="12" s="1"/>
  <c r="H328" i="12" s="1"/>
  <c r="E42" i="11"/>
  <c r="E74" i="11"/>
  <c r="E97" i="11"/>
  <c r="E34" i="11"/>
  <c r="E38" i="11"/>
  <c r="E57" i="11"/>
  <c r="E64" i="11"/>
  <c r="E107" i="11"/>
  <c r="E120" i="11"/>
  <c r="E127" i="11"/>
  <c r="E140" i="11"/>
  <c r="E171" i="11"/>
  <c r="E361" i="12"/>
  <c r="E362" i="12" s="1"/>
  <c r="F362" i="12" s="1"/>
  <c r="G362" i="12" s="1"/>
  <c r="H362" i="12" s="1"/>
  <c r="E193" i="12"/>
  <c r="E94" i="12"/>
  <c r="E96" i="12"/>
  <c r="E95" i="12"/>
  <c r="E128" i="12"/>
  <c r="E129" i="12"/>
  <c r="E65" i="12"/>
  <c r="E64" i="12"/>
  <c r="E63" i="12"/>
  <c r="E72" i="11"/>
  <c r="D132" i="11"/>
  <c r="D176" i="11"/>
  <c r="E363" i="12" l="1"/>
  <c r="E329" i="12"/>
  <c r="E364" i="12"/>
  <c r="E132" i="11"/>
  <c r="E176" i="11"/>
  <c r="F168" i="11" s="1"/>
  <c r="E46" i="11"/>
  <c r="F45" i="11" s="1"/>
  <c r="E154" i="11"/>
  <c r="F150" i="11" s="1"/>
  <c r="E66" i="11"/>
  <c r="F66" i="11" s="1"/>
  <c r="E110" i="11"/>
  <c r="F94" i="11" s="1"/>
  <c r="F176" i="11"/>
  <c r="E263" i="12"/>
  <c r="E264" i="12" s="1"/>
  <c r="F139" i="11"/>
  <c r="F143" i="11"/>
  <c r="F148" i="11"/>
  <c r="F144" i="11"/>
  <c r="F123" i="11"/>
  <c r="E197" i="12"/>
  <c r="E198" i="12" s="1"/>
  <c r="F229" i="11"/>
  <c r="G229" i="11" s="1"/>
  <c r="F252" i="11"/>
  <c r="G252" i="11" s="1"/>
  <c r="F251" i="11"/>
  <c r="G251" i="11" s="1"/>
  <c r="F235" i="11"/>
  <c r="G235" i="11" s="1"/>
  <c r="F248" i="11"/>
  <c r="G248" i="11" s="1"/>
  <c r="F259" i="11"/>
  <c r="G259" i="11" s="1"/>
  <c r="F232" i="11"/>
  <c r="G232" i="11" s="1"/>
  <c r="F224" i="11"/>
  <c r="G224" i="11" s="1"/>
  <c r="F223" i="11"/>
  <c r="G223" i="11" s="1"/>
  <c r="F236" i="11"/>
  <c r="G236" i="11" s="1"/>
  <c r="F245" i="11"/>
  <c r="G245" i="11" s="1"/>
  <c r="F246" i="11"/>
  <c r="G246" i="11" s="1"/>
  <c r="F249" i="11"/>
  <c r="G249" i="11" s="1"/>
  <c r="F254" i="11"/>
  <c r="G254" i="11" s="1"/>
  <c r="F256" i="11"/>
  <c r="G256" i="11" s="1"/>
  <c r="F250" i="11"/>
  <c r="G250" i="11" s="1"/>
  <c r="F244" i="11"/>
  <c r="G244" i="11" s="1"/>
  <c r="F258" i="11"/>
  <c r="G258" i="11" s="1"/>
  <c r="F231" i="11"/>
  <c r="G231" i="11" s="1"/>
  <c r="F257" i="11"/>
  <c r="G257" i="11" s="1"/>
  <c r="F234" i="11"/>
  <c r="G234" i="11" s="1"/>
  <c r="F226" i="11"/>
  <c r="G226" i="11" s="1"/>
  <c r="F230" i="11"/>
  <c r="G230" i="11" s="1"/>
  <c r="F221" i="11"/>
  <c r="G221" i="11" s="1"/>
  <c r="F247" i="11"/>
  <c r="G247" i="11" s="1"/>
  <c r="F233" i="11"/>
  <c r="G233" i="11" s="1"/>
  <c r="F228" i="11"/>
  <c r="G228" i="11" s="1"/>
  <c r="F255" i="11"/>
  <c r="G255" i="11" s="1"/>
  <c r="F222" i="11"/>
  <c r="G222" i="11" s="1"/>
  <c r="F225" i="11"/>
  <c r="G225" i="11" s="1"/>
  <c r="F227" i="11"/>
  <c r="G227" i="11" s="1"/>
  <c r="F253" i="11"/>
  <c r="G253" i="11" s="1"/>
  <c r="F129" i="11"/>
  <c r="F124" i="11"/>
  <c r="E330" i="12"/>
  <c r="F166" i="11"/>
  <c r="F117" i="11"/>
  <c r="F42" i="11"/>
  <c r="F147" i="11"/>
  <c r="F171" i="11"/>
  <c r="F57" i="11"/>
  <c r="F126" i="11"/>
  <c r="F170" i="11"/>
  <c r="E88" i="11"/>
  <c r="F128" i="11"/>
  <c r="F61" i="11"/>
  <c r="F64" i="11"/>
  <c r="F174" i="11"/>
  <c r="F103" i="11"/>
  <c r="F172" i="11"/>
  <c r="F43" i="11"/>
  <c r="F131" i="11"/>
  <c r="F53" i="11"/>
  <c r="F140" i="11"/>
  <c r="F41" i="11"/>
  <c r="F146" i="11"/>
  <c r="F35" i="11"/>
  <c r="F127" i="11"/>
  <c r="F38" i="11"/>
  <c r="F169" i="11"/>
  <c r="F125" i="11"/>
  <c r="F161" i="11"/>
  <c r="F119" i="11"/>
  <c r="F163" i="11"/>
  <c r="F40" i="11"/>
  <c r="F118" i="11"/>
  <c r="F32" i="11"/>
  <c r="B53" i="1" s="1"/>
  <c r="F167" i="11"/>
  <c r="F121" i="11"/>
  <c r="F120" i="11"/>
  <c r="F162" i="11"/>
  <c r="F141" i="11"/>
  <c r="F175" i="11"/>
  <c r="F164" i="11"/>
  <c r="F63" i="11"/>
  <c r="F107" i="11"/>
  <c r="F122" i="11"/>
  <c r="F149" i="11"/>
  <c r="F37" i="11"/>
  <c r="F33" i="11"/>
  <c r="F130" i="11"/>
  <c r="F173" i="11"/>
  <c r="F160" i="11"/>
  <c r="F116" i="11"/>
  <c r="F165" i="11"/>
  <c r="F106" i="11" l="1"/>
  <c r="F153" i="11"/>
  <c r="F154" i="11"/>
  <c r="F55" i="11"/>
  <c r="F44" i="11"/>
  <c r="G44" i="11" s="1"/>
  <c r="F34" i="11"/>
  <c r="F142" i="11"/>
  <c r="F39" i="11"/>
  <c r="G39" i="11" s="1"/>
  <c r="F145" i="11"/>
  <c r="F151" i="11"/>
  <c r="F96" i="11"/>
  <c r="F102" i="11"/>
  <c r="F138" i="11"/>
  <c r="G138" i="11" s="1"/>
  <c r="F100" i="11"/>
  <c r="F36" i="11"/>
  <c r="G36" i="11" s="1"/>
  <c r="F56" i="11"/>
  <c r="G56" i="11" s="1"/>
  <c r="F152" i="11"/>
  <c r="E67" i="12"/>
  <c r="E68" i="12" s="1"/>
  <c r="F108" i="11"/>
  <c r="F104" i="11"/>
  <c r="F109" i="11"/>
  <c r="G109" i="11" s="1"/>
  <c r="F52" i="11"/>
  <c r="G52" i="11" s="1"/>
  <c r="F54" i="11"/>
  <c r="C55" i="1" s="1"/>
  <c r="C13" i="3" s="1"/>
  <c r="F97" i="11"/>
  <c r="E56" i="1" s="1"/>
  <c r="F101" i="11"/>
  <c r="G101" i="11" s="1"/>
  <c r="F99" i="11"/>
  <c r="G99" i="11" s="1"/>
  <c r="F58" i="11"/>
  <c r="E98" i="12"/>
  <c r="E99" i="12" s="1"/>
  <c r="E100" i="12" s="1"/>
  <c r="F65" i="11"/>
  <c r="G65" i="11" s="1"/>
  <c r="F110" i="11"/>
  <c r="F105" i="11"/>
  <c r="G105" i="11" s="1"/>
  <c r="E164" i="12"/>
  <c r="E165" i="12" s="1"/>
  <c r="E166" i="12" s="1"/>
  <c r="F59" i="11"/>
  <c r="G59" i="11" s="1"/>
  <c r="F60" i="11"/>
  <c r="G60" i="11" s="1"/>
  <c r="F95" i="11"/>
  <c r="F98" i="11"/>
  <c r="F62" i="11"/>
  <c r="G62" i="11" s="1"/>
  <c r="E230" i="12"/>
  <c r="E231" i="12" s="1"/>
  <c r="E232" i="12" s="1"/>
  <c r="G237" i="11"/>
  <c r="G107" i="11"/>
  <c r="E67" i="1"/>
  <c r="E200" i="12"/>
  <c r="C47" i="1" s="1"/>
  <c r="E199" i="12"/>
  <c r="G116" i="11"/>
  <c r="F53" i="1"/>
  <c r="G33" i="11"/>
  <c r="B54" i="1"/>
  <c r="G63" i="11"/>
  <c r="C67" i="1"/>
  <c r="C25" i="3" s="1"/>
  <c r="G121" i="11"/>
  <c r="F58" i="1"/>
  <c r="G119" i="11"/>
  <c r="F56" i="1"/>
  <c r="G35" i="11"/>
  <c r="B56" i="1"/>
  <c r="G131" i="11"/>
  <c r="F69" i="1"/>
  <c r="G174" i="11"/>
  <c r="H68" i="1"/>
  <c r="G26" i="3" s="1"/>
  <c r="G170" i="11"/>
  <c r="H64" i="1"/>
  <c r="G22" i="3" s="1"/>
  <c r="G166" i="11"/>
  <c r="H60" i="1"/>
  <c r="G18" i="3" s="1"/>
  <c r="G123" i="11"/>
  <c r="F59" i="1"/>
  <c r="G53" i="1"/>
  <c r="G55" i="11"/>
  <c r="C56" i="1"/>
  <c r="C14" i="3" s="1"/>
  <c r="G108" i="11"/>
  <c r="E68" i="1"/>
  <c r="G167" i="11"/>
  <c r="H59" i="1"/>
  <c r="G17" i="3" s="1"/>
  <c r="G161" i="11"/>
  <c r="H54" i="1"/>
  <c r="G12" i="3" s="1"/>
  <c r="G142" i="11"/>
  <c r="G57" i="1"/>
  <c r="G43" i="11"/>
  <c r="B67" i="1"/>
  <c r="G64" i="11"/>
  <c r="C68" i="1"/>
  <c r="C26" i="3" s="1"/>
  <c r="G126" i="11"/>
  <c r="F64" i="1"/>
  <c r="G151" i="11"/>
  <c r="G67" i="1"/>
  <c r="G106" i="11"/>
  <c r="E66" i="1"/>
  <c r="G34" i="11"/>
  <c r="B55" i="1"/>
  <c r="G149" i="11"/>
  <c r="G65" i="1"/>
  <c r="G171" i="11"/>
  <c r="H65" i="1"/>
  <c r="G23" i="3" s="1"/>
  <c r="G47" i="3" s="1"/>
  <c r="G150" i="11"/>
  <c r="G66" i="1"/>
  <c r="G153" i="11"/>
  <c r="G69" i="1"/>
  <c r="G169" i="11"/>
  <c r="H63" i="1"/>
  <c r="G21" i="3" s="1"/>
  <c r="G128" i="11"/>
  <c r="F66" i="1"/>
  <c r="G58" i="11"/>
  <c r="C60" i="1"/>
  <c r="C18" i="3" s="1"/>
  <c r="C32" i="3" s="1"/>
  <c r="G144" i="11"/>
  <c r="G60" i="1"/>
  <c r="G96" i="11"/>
  <c r="E55" i="1"/>
  <c r="G168" i="11"/>
  <c r="H61" i="1"/>
  <c r="G19" i="3" s="1"/>
  <c r="G57" i="11"/>
  <c r="C58" i="1"/>
  <c r="C16" i="3" s="1"/>
  <c r="G175" i="11"/>
  <c r="H69" i="1"/>
  <c r="G27" i="3" s="1"/>
  <c r="C53" i="1"/>
  <c r="G94" i="11"/>
  <c r="E53" i="1"/>
  <c r="G141" i="11"/>
  <c r="G56" i="1"/>
  <c r="G172" i="11"/>
  <c r="H66" i="1"/>
  <c r="G24" i="3" s="1"/>
  <c r="G165" i="11"/>
  <c r="H58" i="1"/>
  <c r="G16" i="3" s="1"/>
  <c r="G98" i="11"/>
  <c r="E57" i="1"/>
  <c r="G122" i="11"/>
  <c r="F60" i="1"/>
  <c r="G162" i="11"/>
  <c r="H55" i="1"/>
  <c r="G13" i="3" s="1"/>
  <c r="G40" i="11"/>
  <c r="B63" i="1"/>
  <c r="G41" i="11"/>
  <c r="B64" i="1"/>
  <c r="G95" i="11"/>
  <c r="E54" i="1"/>
  <c r="F132" i="11"/>
  <c r="E131" i="12"/>
  <c r="E132" i="12" s="1"/>
  <c r="F260" i="11"/>
  <c r="F237" i="11"/>
  <c r="G147" i="11"/>
  <c r="G63" i="1"/>
  <c r="G124" i="11"/>
  <c r="F61" i="1"/>
  <c r="G148" i="11"/>
  <c r="G64" i="1"/>
  <c r="E266" i="12"/>
  <c r="C49" i="1" s="1"/>
  <c r="G7" i="3" s="1"/>
  <c r="G37" i="3" s="1"/>
  <c r="G38" i="3" s="1"/>
  <c r="G39" i="3" s="1"/>
  <c r="G40" i="3" s="1"/>
  <c r="G41" i="3" s="1"/>
  <c r="E265" i="12"/>
  <c r="G130" i="11"/>
  <c r="F68" i="1"/>
  <c r="G120" i="11"/>
  <c r="F57" i="1"/>
  <c r="G127" i="11"/>
  <c r="F65" i="1"/>
  <c r="G53" i="11"/>
  <c r="C54" i="1"/>
  <c r="C12" i="3" s="1"/>
  <c r="G103" i="11"/>
  <c r="E63" i="1"/>
  <c r="G117" i="11"/>
  <c r="F54" i="1"/>
  <c r="G139" i="11"/>
  <c r="G54" i="1"/>
  <c r="E69" i="1"/>
  <c r="G37" i="11"/>
  <c r="B58" i="1"/>
  <c r="G164" i="11"/>
  <c r="H57" i="1"/>
  <c r="G15" i="3" s="1"/>
  <c r="G31" i="3" s="1"/>
  <c r="G125" i="11"/>
  <c r="F63" i="1"/>
  <c r="G104" i="11"/>
  <c r="E64" i="1"/>
  <c r="G61" i="11"/>
  <c r="C64" i="1"/>
  <c r="C22" i="3" s="1"/>
  <c r="G152" i="11"/>
  <c r="G68" i="1"/>
  <c r="G160" i="11"/>
  <c r="H53" i="1"/>
  <c r="G146" i="11"/>
  <c r="G61" i="1"/>
  <c r="G45" i="11"/>
  <c r="B69" i="1"/>
  <c r="G118" i="11"/>
  <c r="F55" i="1"/>
  <c r="G102" i="11"/>
  <c r="E61" i="1"/>
  <c r="G173" i="11"/>
  <c r="H67" i="1"/>
  <c r="G25" i="3" s="1"/>
  <c r="G100" i="11"/>
  <c r="E60" i="1"/>
  <c r="B68" i="1"/>
  <c r="G163" i="11"/>
  <c r="H56" i="1"/>
  <c r="G14" i="3" s="1"/>
  <c r="G38" i="11"/>
  <c r="B60" i="1"/>
  <c r="G140" i="11"/>
  <c r="G55" i="1"/>
  <c r="C66" i="1"/>
  <c r="C24" i="3" s="1"/>
  <c r="G145" i="11"/>
  <c r="G59" i="1"/>
  <c r="G42" i="11"/>
  <c r="B66" i="1"/>
  <c r="G129" i="11"/>
  <c r="F67" i="1"/>
  <c r="G260" i="11"/>
  <c r="G143" i="11"/>
  <c r="G58" i="1"/>
  <c r="F72" i="11"/>
  <c r="F88" i="11"/>
  <c r="F73" i="11"/>
  <c r="F77" i="11"/>
  <c r="F82" i="11"/>
  <c r="G82" i="11" s="1"/>
  <c r="F76" i="11"/>
  <c r="F84" i="11"/>
  <c r="F81" i="11"/>
  <c r="G81" i="11" s="1"/>
  <c r="F87" i="11"/>
  <c r="F75" i="11"/>
  <c r="F80" i="11"/>
  <c r="F86" i="11"/>
  <c r="F83" i="11"/>
  <c r="F78" i="11"/>
  <c r="F79" i="11"/>
  <c r="F85" i="11"/>
  <c r="F74" i="11"/>
  <c r="G32" i="11"/>
  <c r="F46" i="11"/>
  <c r="E101" i="12" l="1"/>
  <c r="C43" i="1" s="1"/>
  <c r="C7" i="3" s="1"/>
  <c r="C37" i="3" s="1"/>
  <c r="C38" i="3" s="1"/>
  <c r="C39" i="3" s="1"/>
  <c r="C40" i="3" s="1"/>
  <c r="C41" i="3" s="1"/>
  <c r="C54" i="3" s="1"/>
  <c r="G54" i="11"/>
  <c r="G32" i="3"/>
  <c r="B61" i="1"/>
  <c r="E233" i="12"/>
  <c r="C48" i="1" s="1"/>
  <c r="C57" i="1"/>
  <c r="C15" i="3" s="1"/>
  <c r="B57" i="1"/>
  <c r="C69" i="1"/>
  <c r="C27" i="3" s="1"/>
  <c r="E69" i="12"/>
  <c r="E70" i="12"/>
  <c r="C42" i="1" s="1"/>
  <c r="E58" i="1"/>
  <c r="G132" i="11"/>
  <c r="G176" i="11"/>
  <c r="G97" i="11"/>
  <c r="C61" i="1"/>
  <c r="C19" i="3" s="1"/>
  <c r="E65" i="1"/>
  <c r="E59" i="1"/>
  <c r="E71" i="1" s="1"/>
  <c r="C63" i="1"/>
  <c r="C21" i="3" s="1"/>
  <c r="C34" i="3" s="1"/>
  <c r="E167" i="12"/>
  <c r="C45" i="1" s="1"/>
  <c r="G30" i="3"/>
  <c r="G45" i="3" s="1"/>
  <c r="G33" i="3"/>
  <c r="G46" i="3" s="1"/>
  <c r="G66" i="11"/>
  <c r="G34" i="3"/>
  <c r="G74" i="11"/>
  <c r="D55" i="1"/>
  <c r="D13" i="3" s="1"/>
  <c r="G11" i="3"/>
  <c r="H71" i="1"/>
  <c r="G85" i="11"/>
  <c r="D67" i="1"/>
  <c r="D25" i="3" s="1"/>
  <c r="G78" i="11"/>
  <c r="D60" i="1"/>
  <c r="D18" i="3" s="1"/>
  <c r="G76" i="11"/>
  <c r="D57" i="1"/>
  <c r="D15" i="3" s="1"/>
  <c r="G154" i="11"/>
  <c r="G72" i="11"/>
  <c r="D53" i="1"/>
  <c r="D11" i="3" s="1"/>
  <c r="C30" i="3"/>
  <c r="C45" i="3" s="1"/>
  <c r="C31" i="3"/>
  <c r="C33" i="3" s="1"/>
  <c r="C46" i="3" s="1"/>
  <c r="G84" i="11"/>
  <c r="D66" i="1"/>
  <c r="D24" i="3" s="1"/>
  <c r="G83" i="11"/>
  <c r="D65" i="1"/>
  <c r="D23" i="3" s="1"/>
  <c r="E133" i="12"/>
  <c r="E134" i="12"/>
  <c r="C44" i="1" s="1"/>
  <c r="C46" i="1" s="1"/>
  <c r="D7" i="3" s="1"/>
  <c r="D37" i="3" s="1"/>
  <c r="D38" i="3" s="1"/>
  <c r="D39" i="3" s="1"/>
  <c r="D40" i="3" s="1"/>
  <c r="D41" i="3" s="1"/>
  <c r="G86" i="11"/>
  <c r="D68" i="1"/>
  <c r="D26" i="3" s="1"/>
  <c r="G77" i="11"/>
  <c r="D58" i="1"/>
  <c r="D16" i="3" s="1"/>
  <c r="C11" i="3"/>
  <c r="G71" i="1"/>
  <c r="G87" i="11"/>
  <c r="D69" i="1"/>
  <c r="D27" i="3" s="1"/>
  <c r="G52" i="3"/>
  <c r="G79" i="11"/>
  <c r="D59" i="1"/>
  <c r="D17" i="3" s="1"/>
  <c r="G80" i="11"/>
  <c r="D61" i="1"/>
  <c r="D19" i="3" s="1"/>
  <c r="G73" i="11"/>
  <c r="D54" i="1"/>
  <c r="D12" i="3" s="1"/>
  <c r="G46" i="11"/>
  <c r="G75" i="11"/>
  <c r="D56" i="1"/>
  <c r="D14" i="3" s="1"/>
  <c r="G110" i="11"/>
  <c r="C52" i="3" l="1"/>
  <c r="C71" i="1"/>
  <c r="G88" i="11"/>
  <c r="D44" i="3"/>
  <c r="B4" i="5"/>
  <c r="D32" i="3"/>
  <c r="C44" i="3"/>
  <c r="C48" i="3" s="1"/>
  <c r="C51" i="3" s="1"/>
  <c r="C53" i="3" s="1"/>
  <c r="B6" i="5"/>
  <c r="D47" i="3"/>
  <c r="D34" i="3"/>
  <c r="B9" i="5"/>
  <c r="G44" i="3"/>
  <c r="D31" i="3"/>
  <c r="D30" i="3"/>
  <c r="D45" i="3" s="1"/>
  <c r="B8" i="6"/>
  <c r="B11" i="6" s="1"/>
  <c r="B7" i="6"/>
  <c r="B6" i="6"/>
  <c r="F8" i="3"/>
  <c r="E8" i="3"/>
  <c r="B8" i="3"/>
  <c r="F7" i="3"/>
  <c r="F37" i="3" s="1"/>
  <c r="F38" i="3" s="1"/>
  <c r="F39" i="3" s="1"/>
  <c r="F40" i="3" s="1"/>
  <c r="F41" i="3" s="1"/>
  <c r="E7" i="3"/>
  <c r="E37" i="3" s="1"/>
  <c r="E38" i="3" s="1"/>
  <c r="E39" i="3" s="1"/>
  <c r="E40" i="3" s="1"/>
  <c r="E41" i="3" s="1"/>
  <c r="B7" i="3"/>
  <c r="F5" i="3"/>
  <c r="E5" i="3"/>
  <c r="E6" i="3" s="1"/>
  <c r="B5" i="3"/>
  <c r="B20" i="2"/>
  <c r="B7" i="2"/>
  <c r="B8" i="2" s="1"/>
  <c r="B4" i="2"/>
  <c r="F71" i="1"/>
  <c r="D71" i="1"/>
  <c r="B71" i="1"/>
  <c r="D33" i="3" l="1"/>
  <c r="D46" i="3" s="1"/>
  <c r="D48" i="3" s="1"/>
  <c r="D51" i="3" s="1"/>
  <c r="G48" i="3"/>
  <c r="G51" i="3" s="1"/>
  <c r="G53" i="3" s="1"/>
  <c r="G54" i="3" s="1"/>
  <c r="E19" i="3"/>
  <c r="E27" i="3"/>
  <c r="E12" i="3"/>
  <c r="E20" i="3"/>
  <c r="E11" i="3"/>
  <c r="E44" i="3" s="1"/>
  <c r="E13" i="3"/>
  <c r="E21" i="3"/>
  <c r="E14" i="3"/>
  <c r="E22" i="3"/>
  <c r="E18" i="3"/>
  <c r="E26" i="3"/>
  <c r="E15" i="3"/>
  <c r="E23" i="3"/>
  <c r="E47" i="3" s="1"/>
  <c r="E17" i="3"/>
  <c r="E25" i="3"/>
  <c r="E16" i="3"/>
  <c r="E24" i="3"/>
  <c r="F6" i="3"/>
  <c r="B6" i="3"/>
  <c r="H5" i="3"/>
  <c r="B9" i="2"/>
  <c r="B15" i="2" s="1"/>
  <c r="B37" i="3"/>
  <c r="F52" i="3"/>
  <c r="B10" i="6"/>
  <c r="E52" i="3"/>
  <c r="E32" i="3" l="1"/>
  <c r="B38" i="3"/>
  <c r="B39" i="3" s="1"/>
  <c r="E34" i="3"/>
  <c r="E31" i="3"/>
  <c r="B18" i="3"/>
  <c r="B26" i="3"/>
  <c r="B11" i="3"/>
  <c r="B44" i="3" s="1"/>
  <c r="B19" i="3"/>
  <c r="B27" i="3"/>
  <c r="B20" i="3"/>
  <c r="H20" i="3" s="1"/>
  <c r="B12" i="3"/>
  <c r="B13" i="3"/>
  <c r="B21" i="3"/>
  <c r="B16" i="3"/>
  <c r="B25" i="3"/>
  <c r="B14" i="3"/>
  <c r="B22" i="3"/>
  <c r="B24" i="3"/>
  <c r="B15" i="3"/>
  <c r="B23" i="3"/>
  <c r="B17" i="3"/>
  <c r="E30" i="3"/>
  <c r="E45" i="3" s="1"/>
  <c r="F12" i="3"/>
  <c r="F20" i="3"/>
  <c r="F11" i="3"/>
  <c r="F18" i="3"/>
  <c r="F13" i="3"/>
  <c r="F21" i="3"/>
  <c r="F14" i="3"/>
  <c r="F22" i="3"/>
  <c r="F15" i="3"/>
  <c r="F23" i="3"/>
  <c r="F47" i="3" s="1"/>
  <c r="H47" i="3" s="1"/>
  <c r="F26" i="3"/>
  <c r="F19" i="3"/>
  <c r="F16" i="3"/>
  <c r="F24" i="3"/>
  <c r="F17" i="3"/>
  <c r="F25" i="3"/>
  <c r="F27" i="3"/>
  <c r="H6" i="3"/>
  <c r="B7" i="5"/>
  <c r="D52" i="3"/>
  <c r="D53" i="3" s="1"/>
  <c r="D54" i="3" s="1"/>
  <c r="E33" i="3" l="1"/>
  <c r="E46" i="3" s="1"/>
  <c r="H22" i="3"/>
  <c r="H27" i="3"/>
  <c r="B34" i="3"/>
  <c r="F34" i="3"/>
  <c r="E48" i="3"/>
  <c r="E51" i="3" s="1"/>
  <c r="E53" i="3" s="1"/>
  <c r="E54" i="3" s="1"/>
  <c r="H15" i="3"/>
  <c r="H12" i="3"/>
  <c r="B40" i="3"/>
  <c r="F30" i="3"/>
  <c r="F45" i="3" s="1"/>
  <c r="B8" i="5"/>
  <c r="F44" i="3"/>
  <c r="H24" i="3"/>
  <c r="H14" i="3"/>
  <c r="H44" i="3"/>
  <c r="H19" i="3"/>
  <c r="F31" i="3"/>
  <c r="H25" i="3"/>
  <c r="B4" i="7" s="1"/>
  <c r="B4" i="8" s="1"/>
  <c r="H16" i="3"/>
  <c r="H26" i="3"/>
  <c r="B5" i="7" s="1"/>
  <c r="B5" i="8" s="1"/>
  <c r="F32" i="3"/>
  <c r="H17" i="3"/>
  <c r="H21" i="3"/>
  <c r="H18" i="3"/>
  <c r="H23" i="3"/>
  <c r="H13" i="3"/>
  <c r="H11" i="3"/>
  <c r="B31" i="3"/>
  <c r="B30" i="3"/>
  <c r="B45" i="3" s="1"/>
  <c r="B32" i="3"/>
  <c r="B5" i="5"/>
  <c r="H34" i="3" l="1"/>
  <c r="B7" i="4" s="1"/>
  <c r="F33" i="3"/>
  <c r="F46" i="3" s="1"/>
  <c r="F48" i="3" s="1"/>
  <c r="F51" i="3" s="1"/>
  <c r="F53" i="3" s="1"/>
  <c r="F54" i="3" s="1"/>
  <c r="H40" i="3"/>
  <c r="B41" i="3"/>
  <c r="B11" i="5"/>
  <c r="H45" i="3"/>
  <c r="H32" i="3"/>
  <c r="B5" i="4" s="1"/>
  <c r="B6" i="8"/>
  <c r="B7" i="7"/>
  <c r="B33" i="3"/>
  <c r="B46" i="3" s="1"/>
  <c r="H46" i="3" s="1"/>
  <c r="H31" i="3"/>
  <c r="B4" i="4" s="1"/>
  <c r="H30" i="3"/>
  <c r="B4" i="6" s="1"/>
  <c r="B9" i="8" l="1"/>
  <c r="B12" i="5"/>
  <c r="B20" i="5" s="1"/>
  <c r="B10" i="4"/>
  <c r="B18" i="4"/>
  <c r="H41" i="3"/>
  <c r="H52" i="3" s="1"/>
  <c r="B52" i="3"/>
  <c r="B54" i="3"/>
  <c r="B6" i="4"/>
  <c r="B11" i="8"/>
  <c r="B14" i="8" s="1"/>
  <c r="B10" i="8"/>
  <c r="H48" i="3"/>
  <c r="H51" i="3" s="1"/>
  <c r="H53" i="3" s="1"/>
  <c r="B48" i="3"/>
  <c r="B51" i="3" s="1"/>
  <c r="B53" i="3" s="1"/>
  <c r="H33" i="3"/>
  <c r="B14" i="6"/>
  <c r="B13" i="6"/>
  <c r="B17" i="6"/>
  <c r="B6" i="9" s="1"/>
  <c r="B15" i="6"/>
  <c r="B9" i="4" l="1"/>
  <c r="B11" i="4" s="1"/>
  <c r="B20" i="4"/>
  <c r="B13" i="8"/>
  <c r="B15" i="8" s="1"/>
  <c r="B5" i="2" s="1"/>
  <c r="B10" i="2" s="1"/>
  <c r="B12" i="2" s="1"/>
  <c r="B16" i="2" s="1"/>
  <c r="B22" i="4" l="1"/>
  <c r="B13" i="2"/>
  <c r="B17" i="2" s="1"/>
  <c r="B18" i="2" s="1"/>
  <c r="B21" i="2" s="1"/>
  <c r="B12" i="9" s="1"/>
  <c r="B5" i="9" l="1"/>
  <c r="B7" i="9" s="1"/>
  <c r="B8" i="9"/>
  <c r="B15" i="9" s="1"/>
  <c r="B9" i="9" l="1"/>
  <c r="B1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Estabrk</author>
  </authors>
  <commentList>
    <comment ref="B14" authorId="0" shapeId="0" xr:uid="{DC53899B-EE64-49DD-9F79-EFD4BF566CD8}">
      <text>
        <r>
          <rPr>
            <b/>
            <sz val="9"/>
            <color indexed="81"/>
            <rFont val="Tahoma"/>
            <family val="2"/>
          </rPr>
          <t>Estabrk:</t>
        </r>
        <r>
          <rPr>
            <sz val="9"/>
            <color indexed="81"/>
            <rFont val="Tahoma"/>
            <family val="2"/>
          </rPr>
          <t xml:space="preserve">
Flare recovery not included in make up by natural gas</t>
        </r>
      </text>
    </comment>
    <comment ref="B16" authorId="0" shapeId="0" xr:uid="{139AE1B6-4EA2-456E-892A-D503A8BCB85E}">
      <text>
        <r>
          <rPr>
            <b/>
            <sz val="9"/>
            <color indexed="81"/>
            <rFont val="Tahoma"/>
            <family val="2"/>
          </rPr>
          <t>Estabrk:</t>
        </r>
        <r>
          <rPr>
            <sz val="9"/>
            <color indexed="81"/>
            <rFont val="Tahoma"/>
            <family val="2"/>
          </rPr>
          <t xml:space="preserve">
Flare recovery not included in make up by natural gas</t>
        </r>
      </text>
    </comment>
  </commentList>
</comments>
</file>

<file path=xl/sharedStrings.xml><?xml version="1.0" encoding="utf-8"?>
<sst xmlns="http://schemas.openxmlformats.org/spreadsheetml/2006/main" count="1110" uniqueCount="365">
  <si>
    <t>MIDOR-ETHYDCO INTEGRATION - COMPLETE INPUT DATA</t>
  </si>
  <si>
    <t>Date: 2025-11-24 23:41:23</t>
  </si>
  <si>
    <t>1. ECONOMIC PARAMETERS</t>
  </si>
  <si>
    <t>Parameter</t>
  </si>
  <si>
    <t>Value</t>
  </si>
  <si>
    <t>Source / Note</t>
  </si>
  <si>
    <t>NG Cost ($/MMBTU)</t>
  </si>
  <si>
    <t>User provided - Egypt industrial NG price</t>
  </si>
  <si>
    <t>MJ to MMBTU Conversion</t>
  </si>
  <si>
    <t>1 MMBTU = 1,055.056 MJ (standard)</t>
  </si>
  <si>
    <t>Operating Hours per Year</t>
  </si>
  <si>
    <t>Standard refinery operating hours</t>
  </si>
  <si>
    <t>2. PRODUCT PRICES ($/ton)</t>
  </si>
  <si>
    <t>Product</t>
  </si>
  <si>
    <t>Price ($/ton)</t>
  </si>
  <si>
    <t>Source</t>
  </si>
  <si>
    <t>H2 (Hydrogen)</t>
  </si>
  <si>
    <t>Industry benchmark (not in Prices-25.xls)</t>
  </si>
  <si>
    <t>C2H6 (Ethane)</t>
  </si>
  <si>
    <t>C2H4 (Ethylene)</t>
  </si>
  <si>
    <t>LPG (C3+C4)</t>
  </si>
  <si>
    <t>From Prices-25.xls (Jan 2025 average: $729/ton)</t>
  </si>
  <si>
    <t>C5+ (Light Naphtha)</t>
  </si>
  <si>
    <t>From Prices-25.xls (Naphtha Jan avg: $620/ton)</t>
  </si>
  <si>
    <t>Methanol</t>
  </si>
  <si>
    <t>Ethylene (from MTO)</t>
  </si>
  <si>
    <t>Propylene (from MTO)</t>
  </si>
  <si>
    <t>3. MOLECULAR WEIGHTS (g/mol)</t>
  </si>
  <si>
    <t>Component</t>
  </si>
  <si>
    <t>MW (g/mol)</t>
  </si>
  <si>
    <t>Use</t>
  </si>
  <si>
    <t>For stoichiometry calculations</t>
  </si>
  <si>
    <t>CO (Carbon Monoxide)</t>
  </si>
  <si>
    <t>For methanol synthesis</t>
  </si>
  <si>
    <t>CO2 (Carbon Dioxide)</t>
  </si>
  <si>
    <t>CH3OH (Methanol)</t>
  </si>
  <si>
    <t>4. PROCESS PARAMETERS</t>
  </si>
  <si>
    <t>Gasoline Density (g/cm³)</t>
  </si>
  <si>
    <t>For methanol blending calculations</t>
  </si>
  <si>
    <t>Methanol Density (g/cm³)</t>
  </si>
  <si>
    <t>Methanol Blend Level (vol%)</t>
  </si>
  <si>
    <t>Recommended blend level (5 vol%)</t>
  </si>
  <si>
    <t>MTO Ethylene Yield (%)</t>
  </si>
  <si>
    <t>Typical MTO process yield</t>
  </si>
  <si>
    <t>MTO Propylene Yield (%)</t>
  </si>
  <si>
    <t>MIDOR Gasoline Pool (t/y)</t>
  </si>
  <si>
    <t>From MIDOR production data</t>
  </si>
  <si>
    <t>ETHYDCO Feed Gap Min (T/hr)</t>
  </si>
  <si>
    <t>From ETHYDCO.XLSX</t>
  </si>
  <si>
    <t>ETHYDCO Feed Gap Max (T/hr)</t>
  </si>
  <si>
    <t>ETHYDCO C2 Content (%)</t>
  </si>
  <si>
    <t>C2 content in feed</t>
  </si>
  <si>
    <t>5. STREAM DATA FROM MIDOR.XLSX</t>
  </si>
  <si>
    <t>Stream</t>
  </si>
  <si>
    <t>Flow (kg/h)</t>
  </si>
  <si>
    <t>LHV (MJ/kg)</t>
  </si>
  <si>
    <t>Flare %</t>
  </si>
  <si>
    <t>Fuel %</t>
  </si>
  <si>
    <t>Current Use</t>
  </si>
  <si>
    <t>Flared</t>
  </si>
  <si>
    <t>Burned in heaters</t>
  </si>
  <si>
    <t>PSA-01 Purge Gas</t>
  </si>
  <si>
    <t>Sweep Gas</t>
  </si>
  <si>
    <t>6. STREAM COMPOSITIONS (wt% from MIDOR.XLSX)</t>
  </si>
  <si>
    <t>Off-Gas</t>
  </si>
  <si>
    <t>PSA Purge</t>
  </si>
  <si>
    <t>H2</t>
  </si>
  <si>
    <t>CH4</t>
  </si>
  <si>
    <t>C2H6</t>
  </si>
  <si>
    <t>C2H4</t>
  </si>
  <si>
    <t>C3H8</t>
  </si>
  <si>
    <t>C3H6</t>
  </si>
  <si>
    <t>iC4</t>
  </si>
  <si>
    <t>nC4</t>
  </si>
  <si>
    <t>C5+</t>
  </si>
  <si>
    <t>CO</t>
  </si>
  <si>
    <t>CO2</t>
  </si>
  <si>
    <t>N2</t>
  </si>
  <si>
    <t>TOTAL (should = 100%)</t>
  </si>
  <si>
    <t>CALCULATION 6: METHANOL BLENDING &amp; MTO</t>
  </si>
  <si>
    <t>Formula / Source</t>
  </si>
  <si>
    <t>Gasoline Pool (t/y)</t>
  </si>
  <si>
    <t>Methanol Available S2 (t/y)</t>
  </si>
  <si>
    <t>Blend vol%</t>
  </si>
  <si>
    <t>Blend wt%</t>
  </si>
  <si>
    <t>(Blend vol% × ρ_methanol) / [(Blend vol% × ρ_methanol) + ((1 - Blend vol%) × ρ_gasoline)]</t>
  </si>
  <si>
    <t>Methanol in Gasoline (t/y)</t>
  </si>
  <si>
    <t>Methanol Surplus for MTO (t/y)</t>
  </si>
  <si>
    <t>Ethylene from MTO (t/y)</t>
  </si>
  <si>
    <t>Propylene from MTO (t/y)</t>
  </si>
  <si>
    <t>Methanol in Gasoline Value ($/y)</t>
  </si>
  <si>
    <t>Ethylene Value ($/y)</t>
  </si>
  <si>
    <t>Propylene Value ($/y)</t>
  </si>
  <si>
    <t>Phase 3+4 Total Value ($/y)</t>
  </si>
  <si>
    <t>Phase 3 NG Cost (PSA+Sweep) ($/y)</t>
  </si>
  <si>
    <t>Phase 3+4 NET VALUE ($/y)</t>
  </si>
  <si>
    <t>STREAM-BY-STREAM CALCULATIONS</t>
  </si>
  <si>
    <t>TOTAL</t>
  </si>
  <si>
    <t>Flow (t/y)</t>
  </si>
  <si>
    <t>Fuel Fraction (for NG calc)</t>
  </si>
  <si>
    <t>RECOVERABLE PRODUCTS (t/y)</t>
  </si>
  <si>
    <t>Total C2 (C2H6 + C2H4)</t>
  </si>
  <si>
    <t>Total C3 LPG (C3H8 + C3H6)</t>
  </si>
  <si>
    <t>Total C4 LPG (iC4 + nC4)</t>
  </si>
  <si>
    <t>Total LPG (C3 + C4)</t>
  </si>
  <si>
    <t>NG MAKEUP ECONOMICS</t>
  </si>
  <si>
    <t>Heat Content (MJ/h)</t>
  </si>
  <si>
    <t>Heat Content (MMBTU/h)</t>
  </si>
  <si>
    <t>Heat from Fuel Portion (MMBTU/h)</t>
  </si>
  <si>
    <t>NG Needed (MMBTU/y)</t>
  </si>
  <si>
    <t>NG Cost ($/y)</t>
  </si>
  <si>
    <t>PRODUCT VALUES ($/y)</t>
  </si>
  <si>
    <t>H2 Value</t>
  </si>
  <si>
    <t>C2 Value</t>
  </si>
  <si>
    <t>LPG Value</t>
  </si>
  <si>
    <t>C5+ Value</t>
  </si>
  <si>
    <t>TOTAL PRODUCT VALUE</t>
  </si>
  <si>
    <t>NET ECONOMICS</t>
  </si>
  <si>
    <t>Product Value</t>
  </si>
  <si>
    <t>NG Makeup Cost</t>
  </si>
  <si>
    <t>NET VALUE</t>
  </si>
  <si>
    <t>ROI (%)</t>
  </si>
  <si>
    <t>CALCULATION 1: C3, C4, C5+ RECOVERY</t>
  </si>
  <si>
    <t>Quantity (t/y)</t>
  </si>
  <si>
    <t>Total C3 (Propane+Propylene)</t>
  </si>
  <si>
    <t>Total C4 (Butanes)</t>
  </si>
  <si>
    <t>TOTAL LPG (C3+C4)</t>
  </si>
  <si>
    <t>Total C5+</t>
  </si>
  <si>
    <t>Total Product Value</t>
  </si>
  <si>
    <t>CALCULATION 2: H2 RECOVERY FROM ALL STREAMS</t>
  </si>
  <si>
    <t>H2 from PSA Purge</t>
  </si>
  <si>
    <t>H2 from Sweep Gas</t>
  </si>
  <si>
    <t>TOTAL H2 RECOVERY</t>
  </si>
  <si>
    <t>CALCULATION 3: C2 BALANCE &amp; ETHYDCO SUPPLY-DEMAND</t>
  </si>
  <si>
    <t>Quantity</t>
  </si>
  <si>
    <t>MIDOR C2 Supply (t/y)</t>
  </si>
  <si>
    <t>C2 Content (%)</t>
  </si>
  <si>
    <t>ETHYDCO C2 Need Min (t/y)</t>
  </si>
  <si>
    <t>ETHYDCO C2 Need Max (t/y)</t>
  </si>
  <si>
    <t>Balance vs Min (t/y)</t>
  </si>
  <si>
    <t>Coverage of Min (%)</t>
  </si>
  <si>
    <t>Coverage of Max (%)</t>
  </si>
  <si>
    <t>Total C2 Value ($/y)</t>
  </si>
  <si>
    <t>CALCULATION 4: CO &amp; CO2 FOR METHANOL</t>
  </si>
  <si>
    <t>Total CO Available</t>
  </si>
  <si>
    <t>Total CO2 Available</t>
  </si>
  <si>
    <t>CO:CO2 Ratio</t>
  </si>
  <si>
    <t>CALCULATION 5: METHANOL PRODUCTION</t>
  </si>
  <si>
    <t>H2 for CO (t/y) conversion to methanol</t>
  </si>
  <si>
    <t>CO × 2 × MW(H2)/MW(CO)</t>
  </si>
  <si>
    <t>H2 for CO2 (t/y) conversion to methanol</t>
  </si>
  <si>
    <t>CO2 × 3 × MW(H2)/MW(CO2)</t>
  </si>
  <si>
    <t>TOTAL H2 REQUIRED (t/y)</t>
  </si>
  <si>
    <t>SCENARIO 2: With H2 Augmentation (Recommended)</t>
  </si>
  <si>
    <t>H2 Available (t/y)</t>
  </si>
  <si>
    <t>H2 Deficit (t/y)</t>
  </si>
  <si>
    <t>H2 Utilization Fraction</t>
  </si>
  <si>
    <t>Methanol from CO (t/y) with available H2</t>
  </si>
  <si>
    <t>Total CO × Utilization Fraction × (MW of MeOH / MW of CO)</t>
  </si>
  <si>
    <t>Methanol from CO2 (t/y) with available H2</t>
  </si>
  <si>
    <t>Total CO₂ × Utilization Fraction × (MW of MeOH / MW of CO₂)</t>
  </si>
  <si>
    <t>TOTAL METHANOL S2 (t/y) ✓ RECOMMENDED</t>
  </si>
  <si>
    <t>FINAL INTEGRATION VALUE SUMMARY</t>
  </si>
  <si>
    <t>Phase</t>
  </si>
  <si>
    <t>NET VALUE ($/year)</t>
  </si>
  <si>
    <t>Description</t>
  </si>
  <si>
    <t>Phase 1+2: Off-Gas &amp; Flare Recovery</t>
  </si>
  <si>
    <t xml:space="preserve">  LPG &amp; C5+ NET</t>
  </si>
  <si>
    <t>From Calc 1</t>
  </si>
  <si>
    <t xml:space="preserve">  C2 Value</t>
  </si>
  <si>
    <t>From Calc 3</t>
  </si>
  <si>
    <t xml:space="preserve">  Phase 1+2 Gross Value</t>
  </si>
  <si>
    <t xml:space="preserve">  Phase 1+2 NG Cost</t>
  </si>
  <si>
    <t xml:space="preserve">  Phase 1+2 NET VALUE</t>
  </si>
  <si>
    <t>Gross - NG cost</t>
  </si>
  <si>
    <t>Phase 3+4: Methanol &amp; MTO</t>
  </si>
  <si>
    <t xml:space="preserve">  Phase 3+4 NET VALUE</t>
  </si>
  <si>
    <t>From Calc 6</t>
  </si>
  <si>
    <t>TOTAL INTEGRATION VALUE</t>
  </si>
  <si>
    <t>Total NG Makeup Cost ($/year)</t>
  </si>
  <si>
    <t>TOTAL NET VALUE ($/year)</t>
  </si>
  <si>
    <t>After all NG makeup costs</t>
  </si>
  <si>
    <t>Formula</t>
  </si>
  <si>
    <t>Hydrogen</t>
  </si>
  <si>
    <t>H₂</t>
  </si>
  <si>
    <t>Methane</t>
  </si>
  <si>
    <t>CH₄</t>
  </si>
  <si>
    <t>Ethane</t>
  </si>
  <si>
    <t>C₂H₆</t>
  </si>
  <si>
    <t>Ethylene</t>
  </si>
  <si>
    <t>C₂H₄</t>
  </si>
  <si>
    <t>Propane</t>
  </si>
  <si>
    <t>C₃H₈</t>
  </si>
  <si>
    <t>Propylene</t>
  </si>
  <si>
    <t>C₃H₆</t>
  </si>
  <si>
    <t>i-C₄H₁₀</t>
  </si>
  <si>
    <t>n-Butane</t>
  </si>
  <si>
    <t>n-C₄H₁₀</t>
  </si>
  <si>
    <t>C₅-C₇</t>
  </si>
  <si>
    <t>Carbon Monoxide</t>
  </si>
  <si>
    <t>Carbon Dioxide</t>
  </si>
  <si>
    <t>CO₂</t>
  </si>
  <si>
    <t>Nitrogen</t>
  </si>
  <si>
    <t>N₂</t>
  </si>
  <si>
    <t>Reference</t>
  </si>
  <si>
    <t>MOLE FRACTION (mol%) TO MASS FRACTION (wt%) CONVERSION</t>
  </si>
  <si>
    <t>Source: Companies Data Questionnaire - MIDOR.XLSX (January 2025)</t>
  </si>
  <si>
    <t>Perry's Handbook (9th Ed)</t>
  </si>
  <si>
    <t>Butane</t>
  </si>
  <si>
    <t>Isobutane</t>
  </si>
  <si>
    <t>Butylene</t>
  </si>
  <si>
    <t>C4H8</t>
  </si>
  <si>
    <t>NC5</t>
  </si>
  <si>
    <t>IC5</t>
  </si>
  <si>
    <t>N-C6</t>
  </si>
  <si>
    <t>H2S</t>
  </si>
  <si>
    <t>CONVERSION METHODOLOGY</t>
  </si>
  <si>
    <t>Step 1: Calculate mass contribution = mol% × MW</t>
  </si>
  <si>
    <t>Step 2: Calculate wt% = (mass contribution / total mass) × 100</t>
  </si>
  <si>
    <t>STREAM: FLARE GAS (Old )</t>
  </si>
  <si>
    <t>Source: MIDOR.XLSX → 'Flared Gases' sheet → average 2025 data</t>
  </si>
  <si>
    <t>mol%</t>
  </si>
  <si>
    <t>Mol fraction</t>
  </si>
  <si>
    <t>Mass Contrib</t>
  </si>
  <si>
    <t>wt fraction</t>
  </si>
  <si>
    <t>Wt %</t>
  </si>
  <si>
    <t>Pentane</t>
  </si>
  <si>
    <t>Hexane</t>
  </si>
  <si>
    <t>Average Mol.Wt</t>
  </si>
  <si>
    <t>STREAM: FLARE GAS (New )</t>
  </si>
  <si>
    <t>STREAM: Refinery fuel gas</t>
  </si>
  <si>
    <t>Source: MIDOR.XLSX → 'Fuel Gas' sheet → Average 2025 data</t>
  </si>
  <si>
    <t>I-Butane</t>
  </si>
  <si>
    <t>STREAM: Natural Gas</t>
  </si>
  <si>
    <t>STREAM: Purge Gas</t>
  </si>
  <si>
    <t>Source: MIDOR.XLSX → 'Other Gases' sheet → Average 2025 data</t>
  </si>
  <si>
    <t>STREAM: Sweep Gas</t>
  </si>
  <si>
    <t>STREAM: Penex Gas</t>
  </si>
  <si>
    <t>Source: Penex spreadsheet → Lab results for net gas out from scrubber → Average 2025 data</t>
  </si>
  <si>
    <t>Flare Gas OLD</t>
  </si>
  <si>
    <t>Flare gas New</t>
  </si>
  <si>
    <t>C4=</t>
  </si>
  <si>
    <t>Penex Gas</t>
  </si>
  <si>
    <t>C5-H10</t>
  </si>
  <si>
    <t>i-C5H10</t>
  </si>
  <si>
    <t>C6H12</t>
  </si>
  <si>
    <t>IsoPentane</t>
  </si>
  <si>
    <t>Natural Gas</t>
  </si>
  <si>
    <t>DATABASE</t>
  </si>
  <si>
    <t>Refinery Gas</t>
  </si>
  <si>
    <t>→</t>
  </si>
  <si>
    <t>MIXER</t>
  </si>
  <si>
    <t>↑</t>
  </si>
  <si>
    <t>RECOVERY</t>
  </si>
  <si>
    <t>↗</t>
  </si>
  <si>
    <t>Purge Gas</t>
  </si>
  <si>
    <t>PROCESS BLOCK DIAGRAM</t>
  </si>
  <si>
    <t>HEATERS combusion</t>
  </si>
  <si>
    <t>containing natural gas already</t>
  </si>
  <si>
    <t xml:space="preserve">total </t>
  </si>
  <si>
    <t>While Flare is a total recovery</t>
  </si>
  <si>
    <t>Flare Gas (Old)</t>
  </si>
  <si>
    <t>Flare Gas (New)</t>
  </si>
  <si>
    <t>Refinery gas ( off gas +natural gas )</t>
  </si>
  <si>
    <t>MIDOR.XLSX - calculations</t>
  </si>
  <si>
    <t>LHV (BTU/scf)</t>
  </si>
  <si>
    <t>C₄H₈</t>
  </si>
  <si>
    <t>n-Pentane</t>
  </si>
  <si>
    <t>n-C₅H₁₂</t>
  </si>
  <si>
    <t>Isopentane</t>
  </si>
  <si>
    <t>i-C₅H₁₂</t>
  </si>
  <si>
    <t>n-Hexane</t>
  </si>
  <si>
    <t>C₆H₁₄</t>
  </si>
  <si>
    <t>C5+ (avg)</t>
  </si>
  <si>
    <t>C₅₊</t>
  </si>
  <si>
    <t>H₂S</t>
  </si>
  <si>
    <t>Non-combustible</t>
  </si>
  <si>
    <t>CALCULATION METHODOLOGY</t>
  </si>
  <si>
    <t>Step 1: Get mol fraction (yi) for each component from composition data</t>
  </si>
  <si>
    <t>STREAM: FLARE GAS (Old)</t>
  </si>
  <si>
    <t>Source: mol% from 'mol% to wt% Conversions' sheet (rows 32-45)</t>
  </si>
  <si>
    <t>Mol Fraction</t>
  </si>
  <si>
    <t>LHV Contrib</t>
  </si>
  <si>
    <t>Step 2: Calculate heat contribution = yi × LHVi (BTU/scf per component)</t>
  </si>
  <si>
    <t>LOWER HEATING VALUE (LHV) CALCULATIONS</t>
  </si>
  <si>
    <t>Source: Component mol% from 'mol% to wt% Conversions' sheet | LHV values from GPSA Engineering Data Book</t>
  </si>
  <si>
    <t>UNIT CONVERSION FACTORS</t>
  </si>
  <si>
    <t>Conversion</t>
  </si>
  <si>
    <t>Factor</t>
  </si>
  <si>
    <t>1 scf → Nm³</t>
  </si>
  <si>
    <t>1 scf = 0.02832 Nm³</t>
  </si>
  <si>
    <t>Standard (60°F, 1atm → 0°C, 1atm)</t>
  </si>
  <si>
    <t>1 BTU → kcal</t>
  </si>
  <si>
    <t>1 BTU = 0.252 kcal</t>
  </si>
  <si>
    <t>Thermodynamic</t>
  </si>
  <si>
    <t>1 BTU → kJ</t>
  </si>
  <si>
    <t>1 BTU = 1.055 kJ</t>
  </si>
  <si>
    <t>1 BTU → MJ</t>
  </si>
  <si>
    <t>1 BTU = 0.001055 MJ</t>
  </si>
  <si>
    <t>1 lb → kg</t>
  </si>
  <si>
    <t>1 lb = 0.4536 kg</t>
  </si>
  <si>
    <t>Mass conversion</t>
  </si>
  <si>
    <t>BTU/scf → BTU/Nm³</t>
  </si>
  <si>
    <t>Volume basis</t>
  </si>
  <si>
    <t>BTU/scf → kcal/Nm³</t>
  </si>
  <si>
    <t>Combined</t>
  </si>
  <si>
    <t>BTU/scf → MJ/Nm³</t>
  </si>
  <si>
    <t>BTU/lb → kcal/kg</t>
  </si>
  <si>
    <t>Mass basis</t>
  </si>
  <si>
    <t>BTU/lb → MJ/kg</t>
  </si>
  <si>
    <t>LHV DATABASE (NET HEATING VALUE)</t>
  </si>
  <si>
    <t>LHV (BTU/lb)</t>
  </si>
  <si>
    <t>GPSA</t>
  </si>
  <si>
    <t>Estimated</t>
  </si>
  <si>
    <t>Step 3: Sum all contributions to get mixture LHV = Σ(yi × LHVi), then convert to other units</t>
  </si>
  <si>
    <t>STREAM LHV SUMMARY</t>
  </si>
  <si>
    <t>Volume Basis</t>
  </si>
  <si>
    <t>LHV (BTU/Nm³)</t>
  </si>
  <si>
    <t>LHV (kcal/Nm³)</t>
  </si>
  <si>
    <t>LHV (MJ/Nm³)</t>
  </si>
  <si>
    <t>Average MW (g/mol)</t>
  </si>
  <si>
    <t>LHV (kcal/kg)</t>
  </si>
  <si>
    <t>Mass Basis</t>
  </si>
  <si>
    <t>STREAM: FLARE GAS (New)</t>
  </si>
  <si>
    <t>Source: mol% from 'mol% to wt% Conversions' sheet (rows 52-65)</t>
  </si>
  <si>
    <t>I-butane</t>
  </si>
  <si>
    <t>Source: mol% from 'mol% to wt% Conversions' sheet (rows 72-87)</t>
  </si>
  <si>
    <t>Source: mol% from 'mol% to wt% Conversions' sheet (rows 116-131)</t>
  </si>
  <si>
    <t>Source: mol% from 'mol% to wt% Conversions' sheet (rows 138-153)</t>
  </si>
  <si>
    <t>Source: mol% from 'mol% to wt% Conversions' sheet (rows 160-175)</t>
  </si>
  <si>
    <t>Make-up needed</t>
  </si>
  <si>
    <t>Flare Gas New</t>
  </si>
  <si>
    <t>Penex</t>
  </si>
  <si>
    <t>Baseline Scenario: PSA/Sweep 100% fuel</t>
  </si>
  <si>
    <t>I-C5</t>
  </si>
  <si>
    <t>N-C5</t>
  </si>
  <si>
    <t>AGGREGATE PRODUCTS (t/yr)</t>
  </si>
  <si>
    <t>LPG heat content ( average )</t>
  </si>
  <si>
    <t>C5+ Heat content (average )</t>
  </si>
  <si>
    <t>MMBTU /ton</t>
  </si>
  <si>
    <t>MMBTU/ year</t>
  </si>
  <si>
    <t xml:space="preserve">NG Make-up Cost </t>
  </si>
  <si>
    <t>H2 from Off-Gas</t>
  </si>
  <si>
    <t>H2 from Flare Gas OLD</t>
  </si>
  <si>
    <t>H2 from Flare Gas New</t>
  </si>
  <si>
    <t>H2 from Penex</t>
  </si>
  <si>
    <t>t/y</t>
  </si>
  <si>
    <t xml:space="preserve">H2 heat content </t>
  </si>
  <si>
    <t>STREAM: LPG hypothetical</t>
  </si>
  <si>
    <t>BTU/KG</t>
  </si>
  <si>
    <t>BTU/Ton</t>
  </si>
  <si>
    <t>Mmbtu/ton</t>
  </si>
  <si>
    <t>STREAM:H2 hypothetical</t>
  </si>
  <si>
    <t>STREAM: H2 hypothetical</t>
  </si>
  <si>
    <t>LPG heat content per year</t>
  </si>
  <si>
    <t>MMBTU/year</t>
  </si>
  <si>
    <t>STREAM:C5+ hypothetical</t>
  </si>
  <si>
    <t>STREAM: C5+ hypothetical</t>
  </si>
  <si>
    <t>C5+ Heat content per year</t>
  </si>
  <si>
    <t>Total product heat content per year</t>
  </si>
  <si>
    <t>Total H2 heat content per year</t>
  </si>
  <si>
    <t>MMBTU /year</t>
  </si>
  <si>
    <t>Total H2 Value</t>
  </si>
  <si>
    <t>NET VALUE (Calc 2) $/year</t>
  </si>
  <si>
    <t>NET VALUE (Calc 1) $/year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</si>
</sst>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000"/>
    <numFmt numFmtId="165" formatCode="\$#,##0"/>
    <numFmt numFmtId="166" formatCode="0.000"/>
    <numFmt numFmtId="167" formatCode="0.0%"/>
    <numFmt numFmtId="168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1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i/>
      <sz val="10"/>
      <name val="Calibri"/>
      <family val="2"/>
    </font>
    <font>
      <i/>
      <sz val="9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FFC000"/>
        <bgColor rgb="FFFFC000"/>
      </patternFill>
    </fill>
    <fill>
      <patternFill patternType="solid">
        <fgColor rgb="FFE7E6E6"/>
        <bgColor rgb="FFE7E6E6"/>
      </patternFill>
    </fill>
    <fill>
      <patternFill patternType="solid">
        <fgColor rgb="FFB4C7E7"/>
        <bgColor rgb="FFB4C7E7"/>
      </patternFill>
    </fill>
    <fill>
      <patternFill patternType="solid">
        <fgColor rgb="FF203864"/>
        <bgColor rgb="FF203864"/>
      </patternFill>
    </fill>
    <fill>
      <patternFill patternType="solid">
        <fgColor rgb="FF44546A"/>
        <bgColor rgb="FF44546A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91">
    <xf numFmtId="0" fontId="0" fillId="0" borderId="0" xfId="0"/>
    <xf numFmtId="0" fontId="2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2" fontId="0" fillId="0" borderId="1" xfId="0" applyNumberFormat="1" applyBorder="1"/>
    <xf numFmtId="3" fontId="0" fillId="0" borderId="1" xfId="0" applyNumberFormat="1" applyBorder="1"/>
    <xf numFmtId="9" fontId="0" fillId="0" borderId="1" xfId="0" applyNumberFormat="1" applyBorder="1"/>
    <xf numFmtId="10" fontId="0" fillId="0" borderId="1" xfId="0" applyNumberFormat="1" applyBorder="1"/>
    <xf numFmtId="0" fontId="5" fillId="0" borderId="1" xfId="0" applyFont="1" applyBorder="1"/>
    <xf numFmtId="10" fontId="4" fillId="5" borderId="2" xfId="0" applyNumberFormat="1" applyFont="1" applyFill="1" applyBorder="1"/>
    <xf numFmtId="3" fontId="0" fillId="6" borderId="1" xfId="0" applyNumberFormat="1" applyFill="1" applyBorder="1"/>
    <xf numFmtId="3" fontId="4" fillId="5" borderId="1" xfId="0" applyNumberFormat="1" applyFont="1" applyFill="1" applyBorder="1"/>
    <xf numFmtId="0" fontId="0" fillId="0" borderId="2" xfId="0" applyBorder="1"/>
    <xf numFmtId="3" fontId="4" fillId="5" borderId="2" xfId="0" applyNumberFormat="1" applyFont="1" applyFill="1" applyBorder="1"/>
    <xf numFmtId="4" fontId="0" fillId="6" borderId="1" xfId="0" applyNumberFormat="1" applyFill="1" applyBorder="1"/>
    <xf numFmtId="165" fontId="4" fillId="5" borderId="2" xfId="0" applyNumberFormat="1" applyFont="1" applyFill="1" applyBorder="1"/>
    <xf numFmtId="165" fontId="0" fillId="6" borderId="1" xfId="0" applyNumberFormat="1" applyFill="1" applyBorder="1"/>
    <xf numFmtId="0" fontId="4" fillId="4" borderId="1" xfId="0" applyFont="1" applyFill="1" applyBorder="1"/>
    <xf numFmtId="3" fontId="0" fillId="5" borderId="1" xfId="0" applyNumberFormat="1" applyFill="1" applyBorder="1"/>
    <xf numFmtId="9" fontId="0" fillId="6" borderId="1" xfId="0" applyNumberFormat="1" applyFill="1" applyBorder="1"/>
    <xf numFmtId="2" fontId="0" fillId="6" borderId="1" xfId="0" applyNumberFormat="1" applyFill="1" applyBorder="1"/>
    <xf numFmtId="0" fontId="4" fillId="0" borderId="0" xfId="0" applyFont="1"/>
    <xf numFmtId="10" fontId="0" fillId="6" borderId="1" xfId="0" applyNumberFormat="1" applyFill="1" applyBorder="1"/>
    <xf numFmtId="167" fontId="0" fillId="0" borderId="1" xfId="0" applyNumberFormat="1" applyBorder="1"/>
    <xf numFmtId="0" fontId="5" fillId="0" borderId="0" xfId="0" applyFont="1"/>
    <xf numFmtId="0" fontId="6" fillId="0" borderId="0" xfId="0" applyFont="1"/>
    <xf numFmtId="165" fontId="6" fillId="5" borderId="2" xfId="0" applyNumberFormat="1" applyFont="1" applyFill="1" applyBorder="1"/>
    <xf numFmtId="3" fontId="0" fillId="6" borderId="1" xfId="0" applyNumberFormat="1" applyFill="1" applyBorder="1" applyAlignment="1">
      <alignment horizontal="center"/>
    </xf>
    <xf numFmtId="10" fontId="0" fillId="0" borderId="5" xfId="0" applyNumberFormat="1" applyBorder="1"/>
    <xf numFmtId="164" fontId="0" fillId="0" borderId="0" xfId="0" applyNumberFormat="1"/>
    <xf numFmtId="0" fontId="4" fillId="7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164" fontId="0" fillId="10" borderId="0" xfId="0" applyNumberFormat="1" applyFill="1"/>
    <xf numFmtId="0" fontId="0" fillId="11" borderId="0" xfId="0" applyFill="1"/>
    <xf numFmtId="0" fontId="4" fillId="12" borderId="7" xfId="0" applyFont="1" applyFill="1" applyBorder="1" applyAlignment="1">
      <alignment horizontal="center" vertical="center" wrapText="1"/>
    </xf>
    <xf numFmtId="10" fontId="0" fillId="0" borderId="7" xfId="0" applyNumberFormat="1" applyBorder="1"/>
    <xf numFmtId="0" fontId="10" fillId="0" borderId="0" xfId="0" applyFont="1"/>
    <xf numFmtId="0" fontId="10" fillId="13" borderId="9" xfId="0" applyFont="1" applyFill="1" applyBorder="1" applyAlignment="1">
      <alignment horizontal="center"/>
    </xf>
    <xf numFmtId="0" fontId="10" fillId="14" borderId="9" xfId="0" applyFont="1" applyFill="1" applyBorder="1" applyAlignment="1">
      <alignment horizontal="center"/>
    </xf>
    <xf numFmtId="0" fontId="10" fillId="16" borderId="9" xfId="0" applyFont="1" applyFill="1" applyBorder="1" applyAlignment="1">
      <alignment horizontal="center"/>
    </xf>
    <xf numFmtId="0" fontId="13" fillId="2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4" fillId="18" borderId="9" xfId="0" applyFont="1" applyFill="1" applyBorder="1" applyAlignment="1">
      <alignment horizontal="center"/>
    </xf>
    <xf numFmtId="0" fontId="14" fillId="17" borderId="9" xfId="0" applyFont="1" applyFill="1" applyBorder="1" applyAlignment="1">
      <alignment horizontal="center"/>
    </xf>
    <xf numFmtId="0" fontId="10" fillId="19" borderId="9" xfId="0" applyFont="1" applyFill="1" applyBorder="1" applyAlignment="1">
      <alignment horizontal="center"/>
    </xf>
    <xf numFmtId="0" fontId="10" fillId="20" borderId="9" xfId="0" applyFont="1" applyFill="1" applyBorder="1" applyAlignment="1">
      <alignment horizontal="center"/>
    </xf>
    <xf numFmtId="0" fontId="10" fillId="21" borderId="9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/>
    <xf numFmtId="0" fontId="0" fillId="0" borderId="6" xfId="0" applyBorder="1"/>
    <xf numFmtId="3" fontId="0" fillId="0" borderId="6" xfId="0" applyNumberFormat="1" applyBorder="1"/>
    <xf numFmtId="2" fontId="0" fillId="0" borderId="6" xfId="0" applyNumberFormat="1" applyBorder="1"/>
    <xf numFmtId="0" fontId="14" fillId="22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3" fillId="23" borderId="0" xfId="0" applyFont="1" applyFill="1"/>
    <xf numFmtId="0" fontId="10" fillId="12" borderId="8" xfId="0" applyFont="1" applyFill="1" applyBorder="1" applyAlignment="1">
      <alignment horizontal="center"/>
    </xf>
    <xf numFmtId="0" fontId="10" fillId="12" borderId="5" xfId="0" applyFont="1" applyFill="1" applyBorder="1" applyAlignment="1">
      <alignment horizontal="center"/>
    </xf>
    <xf numFmtId="0" fontId="16" fillId="0" borderId="0" xfId="0" applyFont="1"/>
    <xf numFmtId="0" fontId="18" fillId="0" borderId="0" xfId="0" applyFont="1"/>
    <xf numFmtId="0" fontId="10" fillId="11" borderId="0" xfId="0" applyFont="1" applyFill="1"/>
    <xf numFmtId="0" fontId="11" fillId="22" borderId="0" xfId="0" applyFont="1" applyFill="1"/>
    <xf numFmtId="0" fontId="11" fillId="22" borderId="0" xfId="0" applyFont="1" applyFill="1" applyAlignment="1">
      <alignment horizontal="center"/>
    </xf>
    <xf numFmtId="2" fontId="19" fillId="0" borderId="0" xfId="0" applyNumberFormat="1" applyFont="1"/>
    <xf numFmtId="3" fontId="4" fillId="5" borderId="4" xfId="0" applyNumberFormat="1" applyFont="1" applyFill="1" applyBorder="1"/>
    <xf numFmtId="165" fontId="4" fillId="5" borderId="11" xfId="0" applyNumberFormat="1" applyFont="1" applyFill="1" applyBorder="1"/>
    <xf numFmtId="168" fontId="0" fillId="0" borderId="0" xfId="1" applyNumberFormat="1" applyFont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/>
    </xf>
    <xf numFmtId="1" fontId="0" fillId="25" borderId="0" xfId="0" applyNumberFormat="1" applyFill="1" applyAlignment="1">
      <alignment horizontal="center" vertical="center"/>
    </xf>
    <xf numFmtId="168" fontId="0" fillId="26" borderId="0" xfId="1" applyNumberFormat="1" applyFont="1" applyFill="1" applyAlignment="1">
      <alignment horizontal="center" vertical="center"/>
    </xf>
    <xf numFmtId="168" fontId="0" fillId="0" borderId="0" xfId="1" applyNumberFormat="1" applyFont="1" applyFill="1" applyAlignment="1">
      <alignment horizontal="center" vertical="center"/>
    </xf>
    <xf numFmtId="168" fontId="0" fillId="27" borderId="1" xfId="1" applyNumberFormat="1" applyFont="1" applyFill="1" applyBorder="1" applyAlignment="1">
      <alignment horizontal="center" vertical="center"/>
    </xf>
    <xf numFmtId="0" fontId="8" fillId="0" borderId="0" xfId="0" applyFont="1"/>
    <xf numFmtId="0" fontId="0" fillId="0" borderId="0" xfId="0"/>
    <xf numFmtId="0" fontId="3" fillId="9" borderId="0" xfId="0" applyFont="1" applyFill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3" borderId="0" xfId="0" applyFont="1" applyFill="1"/>
    <xf numFmtId="0" fontId="2" fillId="0" borderId="0" xfId="0" applyFont="1"/>
    <xf numFmtId="0" fontId="17" fillId="24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42265F-6FF9-4FF2-BE2B-7E7826E9B6A8}">
  <we:reference id="wa200009404" version="1.0.0.4" store="en-US" storeType="OMEX"/>
  <we:alternateReferences>
    <we:reference id="wa200009404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EB3F-362F-43F2-B3D1-2452CEB36C7E}">
  <dimension ref="A1:G284"/>
  <sheetViews>
    <sheetView topLeftCell="A267" zoomScaleNormal="100" workbookViewId="0">
      <selection activeCell="B279" sqref="B279"/>
    </sheetView>
  </sheetViews>
  <sheetFormatPr defaultColWidth="9.109375" defaultRowHeight="14.4" x14ac:dyDescent="0.3"/>
  <cols>
    <col min="1" max="1" width="20" customWidth="1"/>
    <col min="2" max="3" width="12" customWidth="1"/>
    <col min="4" max="4" width="14" customWidth="1"/>
    <col min="5" max="5" width="12" customWidth="1"/>
    <col min="6" max="6" width="25" customWidth="1"/>
  </cols>
  <sheetData>
    <row r="1" spans="1:6" ht="18" x14ac:dyDescent="0.3">
      <c r="A1" s="81" t="s">
        <v>205</v>
      </c>
      <c r="B1" s="79"/>
      <c r="C1" s="79"/>
      <c r="D1" s="79"/>
      <c r="E1" s="79"/>
      <c r="F1" s="79"/>
    </row>
    <row r="2" spans="1:6" x14ac:dyDescent="0.3">
      <c r="A2" s="82" t="s">
        <v>206</v>
      </c>
      <c r="B2" s="79"/>
      <c r="C2" s="79"/>
      <c r="D2" s="79"/>
      <c r="E2" s="79"/>
      <c r="F2" s="79"/>
    </row>
    <row r="4" spans="1:6" ht="15.6" x14ac:dyDescent="0.3">
      <c r="A4" s="83" t="s">
        <v>248</v>
      </c>
      <c r="B4" s="79"/>
      <c r="C4" s="79"/>
      <c r="D4" s="79"/>
    </row>
    <row r="5" spans="1:6" x14ac:dyDescent="0.3">
      <c r="A5" s="34" t="s">
        <v>28</v>
      </c>
      <c r="B5" s="34" t="s">
        <v>182</v>
      </c>
      <c r="C5" s="34" t="s">
        <v>29</v>
      </c>
      <c r="D5" s="34" t="s">
        <v>204</v>
      </c>
    </row>
    <row r="6" spans="1:6" x14ac:dyDescent="0.3">
      <c r="A6" t="s">
        <v>183</v>
      </c>
      <c r="B6" t="s">
        <v>184</v>
      </c>
      <c r="C6" s="35">
        <v>2.016</v>
      </c>
      <c r="D6" t="s">
        <v>207</v>
      </c>
    </row>
    <row r="7" spans="1:6" x14ac:dyDescent="0.3">
      <c r="A7" t="s">
        <v>185</v>
      </c>
      <c r="B7" t="s">
        <v>186</v>
      </c>
      <c r="C7" s="35">
        <v>16.042000000000002</v>
      </c>
      <c r="D7" t="s">
        <v>207</v>
      </c>
    </row>
    <row r="8" spans="1:6" x14ac:dyDescent="0.3">
      <c r="A8" t="s">
        <v>187</v>
      </c>
      <c r="B8" t="s">
        <v>188</v>
      </c>
      <c r="C8" s="35">
        <v>30.068999999999999</v>
      </c>
      <c r="D8" t="s">
        <v>207</v>
      </c>
    </row>
    <row r="9" spans="1:6" x14ac:dyDescent="0.3">
      <c r="A9" t="s">
        <v>189</v>
      </c>
      <c r="B9" t="s">
        <v>190</v>
      </c>
      <c r="C9" s="35">
        <v>28.053000000000001</v>
      </c>
      <c r="D9" t="s">
        <v>207</v>
      </c>
    </row>
    <row r="10" spans="1:6" x14ac:dyDescent="0.3">
      <c r="A10" t="s">
        <v>191</v>
      </c>
      <c r="B10" t="s">
        <v>192</v>
      </c>
      <c r="C10" s="35">
        <v>44.095999999999997</v>
      </c>
      <c r="D10" t="s">
        <v>207</v>
      </c>
    </row>
    <row r="11" spans="1:6" x14ac:dyDescent="0.3">
      <c r="A11" t="s">
        <v>193</v>
      </c>
      <c r="B11" t="s">
        <v>194</v>
      </c>
      <c r="C11" s="35">
        <v>42.08</v>
      </c>
      <c r="D11" t="s">
        <v>207</v>
      </c>
    </row>
    <row r="12" spans="1:6" x14ac:dyDescent="0.3">
      <c r="A12" t="s">
        <v>208</v>
      </c>
      <c r="B12" t="s">
        <v>197</v>
      </c>
      <c r="C12" s="35">
        <v>58.122</v>
      </c>
      <c r="D12" t="s">
        <v>207</v>
      </c>
    </row>
    <row r="13" spans="1:6" x14ac:dyDescent="0.3">
      <c r="A13" t="s">
        <v>209</v>
      </c>
      <c r="B13" t="s">
        <v>195</v>
      </c>
      <c r="C13" s="35">
        <v>58.122999999999998</v>
      </c>
      <c r="D13" t="s">
        <v>207</v>
      </c>
    </row>
    <row r="14" spans="1:6" x14ac:dyDescent="0.3">
      <c r="A14" t="s">
        <v>210</v>
      </c>
      <c r="B14" t="s">
        <v>211</v>
      </c>
      <c r="C14" s="35">
        <v>56.106000000000002</v>
      </c>
      <c r="D14" t="s">
        <v>207</v>
      </c>
    </row>
    <row r="15" spans="1:6" x14ac:dyDescent="0.3">
      <c r="A15" t="s">
        <v>74</v>
      </c>
      <c r="B15" t="s">
        <v>198</v>
      </c>
      <c r="C15" s="35">
        <v>85</v>
      </c>
    </row>
    <row r="16" spans="1:6" x14ac:dyDescent="0.3">
      <c r="A16" t="s">
        <v>226</v>
      </c>
      <c r="B16" t="s">
        <v>243</v>
      </c>
      <c r="C16" s="35">
        <v>72.149000000000001</v>
      </c>
      <c r="D16" t="s">
        <v>207</v>
      </c>
    </row>
    <row r="17" spans="1:7" x14ac:dyDescent="0.3">
      <c r="A17" t="s">
        <v>246</v>
      </c>
      <c r="B17" t="s">
        <v>244</v>
      </c>
      <c r="C17" s="35">
        <v>72.150000000000006</v>
      </c>
      <c r="D17" t="s">
        <v>207</v>
      </c>
    </row>
    <row r="18" spans="1:7" x14ac:dyDescent="0.3">
      <c r="A18" t="s">
        <v>227</v>
      </c>
      <c r="B18" t="s">
        <v>245</v>
      </c>
      <c r="C18" s="35">
        <v>86.16</v>
      </c>
      <c r="D18" t="s">
        <v>207</v>
      </c>
    </row>
    <row r="19" spans="1:7" x14ac:dyDescent="0.3">
      <c r="A19" t="s">
        <v>215</v>
      </c>
      <c r="B19" t="s">
        <v>215</v>
      </c>
      <c r="C19" s="35">
        <v>34.08</v>
      </c>
      <c r="D19" t="s">
        <v>207</v>
      </c>
    </row>
    <row r="20" spans="1:7" x14ac:dyDescent="0.3">
      <c r="A20" t="s">
        <v>199</v>
      </c>
      <c r="B20" t="s">
        <v>75</v>
      </c>
      <c r="C20" s="35">
        <v>28.01</v>
      </c>
      <c r="D20" t="s">
        <v>207</v>
      </c>
    </row>
    <row r="21" spans="1:7" x14ac:dyDescent="0.3">
      <c r="A21" t="s">
        <v>200</v>
      </c>
      <c r="B21" t="s">
        <v>201</v>
      </c>
      <c r="C21" s="35">
        <v>44.01</v>
      </c>
      <c r="D21" t="s">
        <v>207</v>
      </c>
    </row>
    <row r="22" spans="1:7" x14ac:dyDescent="0.3">
      <c r="A22" t="s">
        <v>202</v>
      </c>
      <c r="B22" t="s">
        <v>203</v>
      </c>
      <c r="C22" s="35">
        <v>28.013999999999999</v>
      </c>
      <c r="D22" t="s">
        <v>207</v>
      </c>
    </row>
    <row r="25" spans="1:7" ht="15.6" x14ac:dyDescent="0.3">
      <c r="A25" s="83" t="s">
        <v>216</v>
      </c>
      <c r="B25" s="79"/>
      <c r="C25" s="79"/>
      <c r="D25" s="79"/>
      <c r="E25" s="79"/>
      <c r="F25" s="79"/>
    </row>
    <row r="26" spans="1:7" x14ac:dyDescent="0.3">
      <c r="A26" s="84" t="s">
        <v>217</v>
      </c>
      <c r="B26" s="79"/>
      <c r="C26" s="79"/>
      <c r="D26" s="79"/>
      <c r="E26" s="79"/>
      <c r="F26" s="79"/>
    </row>
    <row r="27" spans="1:7" x14ac:dyDescent="0.3">
      <c r="A27" s="84" t="s">
        <v>218</v>
      </c>
      <c r="B27" s="79"/>
      <c r="C27" s="79"/>
      <c r="D27" s="79"/>
      <c r="E27" s="79"/>
      <c r="F27" s="79"/>
    </row>
    <row r="29" spans="1:7" ht="15.6" x14ac:dyDescent="0.3">
      <c r="A29" s="80" t="s">
        <v>219</v>
      </c>
      <c r="B29" s="79"/>
      <c r="C29" s="79"/>
      <c r="D29" s="79"/>
      <c r="E29" s="79"/>
      <c r="F29" s="79"/>
    </row>
    <row r="30" spans="1:7" x14ac:dyDescent="0.3">
      <c r="A30" s="78" t="s">
        <v>220</v>
      </c>
      <c r="B30" s="79"/>
      <c r="C30" s="79"/>
      <c r="D30" s="79"/>
      <c r="E30" s="79"/>
      <c r="F30" s="79"/>
    </row>
    <row r="31" spans="1:7" x14ac:dyDescent="0.3">
      <c r="A31" s="36" t="s">
        <v>28</v>
      </c>
      <c r="B31" s="36" t="s">
        <v>221</v>
      </c>
      <c r="C31" s="36" t="s">
        <v>29</v>
      </c>
      <c r="D31" s="36" t="s">
        <v>222</v>
      </c>
      <c r="E31" s="36" t="s">
        <v>223</v>
      </c>
      <c r="F31" s="36" t="s">
        <v>224</v>
      </c>
      <c r="G31" s="36" t="s">
        <v>225</v>
      </c>
    </row>
    <row r="32" spans="1:7" x14ac:dyDescent="0.3">
      <c r="A32" t="s">
        <v>183</v>
      </c>
      <c r="B32" s="33">
        <v>66.823331273431393</v>
      </c>
      <c r="C32">
        <f>$C$6</f>
        <v>2.016</v>
      </c>
      <c r="D32" s="33">
        <f t="shared" ref="D32:D45" si="0">B32/100</f>
        <v>0.66823331273431397</v>
      </c>
      <c r="E32" s="33">
        <f>D32*C32</f>
        <v>1.347158358472377</v>
      </c>
      <c r="F32">
        <f>E32/$E$46</f>
        <v>0.12226329671857078</v>
      </c>
      <c r="G32">
        <f>F32*100</f>
        <v>12.226329671857078</v>
      </c>
    </row>
    <row r="33" spans="1:7" x14ac:dyDescent="0.3">
      <c r="A33" t="s">
        <v>185</v>
      </c>
      <c r="B33" s="33">
        <v>18.035802125818812</v>
      </c>
      <c r="C33">
        <f>$C$7</f>
        <v>16.042000000000002</v>
      </c>
      <c r="D33" s="33">
        <f t="shared" si="0"/>
        <v>0.18035802125818812</v>
      </c>
      <c r="E33" s="33">
        <f t="shared" ref="E33:E45" si="1">D33*C33</f>
        <v>2.8933033770238539</v>
      </c>
      <c r="F33">
        <f t="shared" ref="F33:F45" si="2">E33/$E$46</f>
        <v>0.26258591431154582</v>
      </c>
      <c r="G33">
        <f t="shared" ref="G33:G45" si="3">F33*100</f>
        <v>26.258591431154581</v>
      </c>
    </row>
    <row r="34" spans="1:7" x14ac:dyDescent="0.3">
      <c r="A34" t="s">
        <v>187</v>
      </c>
      <c r="B34" s="33">
        <v>3.9262561282082973</v>
      </c>
      <c r="C34">
        <f>$C$8</f>
        <v>30.068999999999999</v>
      </c>
      <c r="D34" s="33">
        <f t="shared" si="0"/>
        <v>3.9262561282082969E-2</v>
      </c>
      <c r="E34" s="33">
        <f t="shared" si="1"/>
        <v>1.1805859551909528</v>
      </c>
      <c r="F34">
        <f t="shared" si="2"/>
        <v>0.10714577839606557</v>
      </c>
      <c r="G34">
        <f t="shared" si="3"/>
        <v>10.714577839606557</v>
      </c>
    </row>
    <row r="35" spans="1:7" x14ac:dyDescent="0.3">
      <c r="A35" t="s">
        <v>189</v>
      </c>
      <c r="B35" s="33">
        <v>0.1277777777777778</v>
      </c>
      <c r="C35">
        <f>$C$9</f>
        <v>28.053000000000001</v>
      </c>
      <c r="D35" s="33">
        <f t="shared" si="0"/>
        <v>1.2777777777777779E-3</v>
      </c>
      <c r="E35" s="33">
        <f t="shared" si="1"/>
        <v>3.5845500000000002E-2</v>
      </c>
      <c r="F35">
        <f t="shared" si="2"/>
        <v>3.2532099696840448E-3</v>
      </c>
      <c r="G35">
        <f t="shared" si="3"/>
        <v>0.3253209969684045</v>
      </c>
    </row>
    <row r="36" spans="1:7" x14ac:dyDescent="0.3">
      <c r="A36" t="s">
        <v>191</v>
      </c>
      <c r="B36" s="33">
        <v>3.1095404358752523</v>
      </c>
      <c r="C36">
        <f>$C$10</f>
        <v>44.095999999999997</v>
      </c>
      <c r="D36" s="33">
        <f t="shared" si="0"/>
        <v>3.1095404358752524E-2</v>
      </c>
      <c r="E36" s="33">
        <f t="shared" si="1"/>
        <v>1.3711829506035511</v>
      </c>
      <c r="F36">
        <f t="shared" si="2"/>
        <v>0.124443683172623</v>
      </c>
      <c r="G36">
        <f t="shared" si="3"/>
        <v>12.444368317262299</v>
      </c>
    </row>
    <row r="37" spans="1:7" x14ac:dyDescent="0.3">
      <c r="A37" t="s">
        <v>193</v>
      </c>
      <c r="B37" s="33">
        <v>0.22731020613373554</v>
      </c>
      <c r="C37">
        <f>$C$11</f>
        <v>42.08</v>
      </c>
      <c r="D37" s="33">
        <f t="shared" si="0"/>
        <v>2.2731020613373553E-3</v>
      </c>
      <c r="E37" s="33">
        <f t="shared" si="1"/>
        <v>9.5652134741075909E-2</v>
      </c>
      <c r="F37">
        <f t="shared" si="2"/>
        <v>8.6810472266038892E-3</v>
      </c>
      <c r="G37">
        <f t="shared" si="3"/>
        <v>0.86810472266038896</v>
      </c>
    </row>
    <row r="38" spans="1:7" x14ac:dyDescent="0.3">
      <c r="A38" t="s">
        <v>208</v>
      </c>
      <c r="B38" s="33">
        <v>1.7354239278210357</v>
      </c>
      <c r="C38">
        <f>$C$12</f>
        <v>58.122</v>
      </c>
      <c r="D38" s="33">
        <f t="shared" si="0"/>
        <v>1.7354239278210358E-2</v>
      </c>
      <c r="E38" s="33">
        <f t="shared" si="1"/>
        <v>1.0086630953281424</v>
      </c>
      <c r="F38">
        <f t="shared" si="2"/>
        <v>9.1542671681909327E-2</v>
      </c>
      <c r="G38">
        <f t="shared" si="3"/>
        <v>9.1542671681909322</v>
      </c>
    </row>
    <row r="39" spans="1:7" x14ac:dyDescent="0.3">
      <c r="A39" t="s">
        <v>210</v>
      </c>
      <c r="B39" s="33">
        <v>1.5587750278086765</v>
      </c>
      <c r="C39">
        <f>$C$14</f>
        <v>56.106000000000002</v>
      </c>
      <c r="D39" s="33">
        <f t="shared" si="0"/>
        <v>1.5587750278086765E-2</v>
      </c>
      <c r="E39" s="33">
        <f t="shared" si="1"/>
        <v>0.87456631710233601</v>
      </c>
      <c r="F39">
        <f t="shared" si="2"/>
        <v>7.9372525475922426E-2</v>
      </c>
      <c r="G39">
        <f t="shared" si="3"/>
        <v>7.9372525475922426</v>
      </c>
    </row>
    <row r="40" spans="1:7" x14ac:dyDescent="0.3">
      <c r="A40" t="s">
        <v>226</v>
      </c>
      <c r="B40" s="33">
        <v>0.58131229486809766</v>
      </c>
      <c r="C40">
        <f>$C$16</f>
        <v>72.149000000000001</v>
      </c>
      <c r="D40" s="33">
        <f t="shared" si="0"/>
        <v>5.8131229486809762E-3</v>
      </c>
      <c r="E40" s="33">
        <f t="shared" si="1"/>
        <v>0.41941100762438377</v>
      </c>
      <c r="F40">
        <f t="shared" si="2"/>
        <v>3.8064249944871079E-2</v>
      </c>
      <c r="G40">
        <f t="shared" si="3"/>
        <v>3.806424994487108</v>
      </c>
    </row>
    <row r="41" spans="1:7" x14ac:dyDescent="0.3">
      <c r="A41" t="s">
        <v>227</v>
      </c>
      <c r="B41" s="33">
        <v>0.49837803320561946</v>
      </c>
      <c r="C41">
        <f>$C$18</f>
        <v>86.16</v>
      </c>
      <c r="D41" s="33">
        <f t="shared" si="0"/>
        <v>4.9837803320561943E-3</v>
      </c>
      <c r="E41" s="33">
        <f t="shared" si="1"/>
        <v>0.42940251340996166</v>
      </c>
      <c r="F41">
        <f t="shared" si="2"/>
        <v>3.8971043440115885E-2</v>
      </c>
      <c r="G41">
        <f t="shared" si="3"/>
        <v>3.8971043440115887</v>
      </c>
    </row>
    <row r="42" spans="1:7" x14ac:dyDescent="0.3">
      <c r="A42" t="s">
        <v>215</v>
      </c>
      <c r="B42" s="33">
        <v>4.3499576719576713E-4</v>
      </c>
      <c r="C42">
        <f>$C$19</f>
        <v>34.08</v>
      </c>
      <c r="D42" s="33">
        <f t="shared" si="0"/>
        <v>4.3499576719576708E-6</v>
      </c>
      <c r="E42" s="33">
        <f t="shared" si="1"/>
        <v>1.4824655746031743E-4</v>
      </c>
      <c r="F42">
        <f t="shared" si="2"/>
        <v>1.3454329795964438E-5</v>
      </c>
      <c r="G42">
        <f t="shared" si="3"/>
        <v>1.3454329795964438E-3</v>
      </c>
    </row>
    <row r="43" spans="1:7" x14ac:dyDescent="0.3">
      <c r="A43" t="s">
        <v>199</v>
      </c>
      <c r="B43" s="33">
        <v>0.88356481481481497</v>
      </c>
      <c r="C43">
        <f>$C$20</f>
        <v>28.01</v>
      </c>
      <c r="D43" s="33">
        <f t="shared" si="0"/>
        <v>8.8356481481481498E-3</v>
      </c>
      <c r="E43" s="33">
        <f t="shared" si="1"/>
        <v>0.24748650462962968</v>
      </c>
      <c r="F43">
        <f t="shared" si="2"/>
        <v>2.2460994105909186E-2</v>
      </c>
      <c r="G43">
        <f t="shared" si="3"/>
        <v>2.2460994105909187</v>
      </c>
    </row>
    <row r="44" spans="1:7" x14ac:dyDescent="0.3">
      <c r="A44" t="s">
        <v>200</v>
      </c>
      <c r="B44" s="33">
        <v>1.1412997304068051</v>
      </c>
      <c r="C44">
        <f>$C$21</f>
        <v>44.01</v>
      </c>
      <c r="D44" s="33">
        <f t="shared" si="0"/>
        <v>1.1412997304068051E-2</v>
      </c>
      <c r="E44" s="33">
        <f t="shared" si="1"/>
        <v>0.50228601135203488</v>
      </c>
      <c r="F44">
        <f t="shared" si="2"/>
        <v>4.5585690247402687E-2</v>
      </c>
      <c r="G44">
        <f t="shared" si="3"/>
        <v>4.5585690247402688</v>
      </c>
    </row>
    <row r="45" spans="1:7" x14ac:dyDescent="0.3">
      <c r="A45" t="s">
        <v>202</v>
      </c>
      <c r="B45" s="33">
        <v>2.187512874387179</v>
      </c>
      <c r="C45">
        <f>$C$22</f>
        <v>28.013999999999999</v>
      </c>
      <c r="D45" s="33">
        <f t="shared" si="0"/>
        <v>2.1875128743871791E-2</v>
      </c>
      <c r="E45" s="33">
        <f t="shared" si="1"/>
        <v>0.61280985663082432</v>
      </c>
      <c r="F45">
        <f t="shared" si="2"/>
        <v>5.5616440978980566E-2</v>
      </c>
      <c r="G45">
        <f t="shared" si="3"/>
        <v>5.561644097898057</v>
      </c>
    </row>
    <row r="46" spans="1:7" x14ac:dyDescent="0.3">
      <c r="A46" s="25" t="s">
        <v>97</v>
      </c>
      <c r="B46" s="37">
        <f>SUM(B32:B45)</f>
        <v>100.83671964632468</v>
      </c>
      <c r="C46" s="38"/>
      <c r="D46" s="37">
        <f>SUM(D32:D45)</f>
        <v>1.008367196463247</v>
      </c>
      <c r="E46" s="37">
        <f>SUM(E32:E45)</f>
        <v>11.018501828666581</v>
      </c>
      <c r="F46">
        <f>SUM(F32:F45)</f>
        <v>1.0000000000000002</v>
      </c>
      <c r="G46">
        <f>SUM(G32:G45)</f>
        <v>100</v>
      </c>
    </row>
    <row r="47" spans="1:7" x14ac:dyDescent="0.3">
      <c r="E47" t="s">
        <v>228</v>
      </c>
    </row>
    <row r="49" spans="1:7" ht="15.6" x14ac:dyDescent="0.3">
      <c r="A49" s="80" t="s">
        <v>229</v>
      </c>
      <c r="B49" s="79"/>
      <c r="C49" s="79"/>
      <c r="D49" s="79"/>
      <c r="E49" s="79"/>
      <c r="F49" s="79"/>
    </row>
    <row r="50" spans="1:7" x14ac:dyDescent="0.3">
      <c r="A50" s="78" t="s">
        <v>220</v>
      </c>
      <c r="B50" s="79"/>
      <c r="C50" s="79"/>
      <c r="D50" s="79"/>
      <c r="E50" s="79"/>
      <c r="F50" s="79"/>
    </row>
    <row r="51" spans="1:7" x14ac:dyDescent="0.3">
      <c r="A51" s="36" t="s">
        <v>28</v>
      </c>
      <c r="B51" s="36" t="s">
        <v>221</v>
      </c>
      <c r="C51" s="36" t="s">
        <v>29</v>
      </c>
      <c r="D51" s="36" t="s">
        <v>222</v>
      </c>
      <c r="E51" s="36" t="s">
        <v>223</v>
      </c>
      <c r="F51" s="36" t="s">
        <v>224</v>
      </c>
      <c r="G51" s="36" t="s">
        <v>225</v>
      </c>
    </row>
    <row r="52" spans="1:7" x14ac:dyDescent="0.3">
      <c r="A52" t="s">
        <v>183</v>
      </c>
      <c r="B52" s="33">
        <v>71.370226589214354</v>
      </c>
      <c r="C52">
        <f>$C$6</f>
        <v>2.016</v>
      </c>
      <c r="D52" s="33">
        <f t="shared" ref="D52:D65" si="4">B52/100</f>
        <v>0.71370226589214358</v>
      </c>
      <c r="E52" s="33">
        <f>D52*C52</f>
        <v>1.4388237680385614</v>
      </c>
      <c r="F52">
        <f>E52/$E$66</f>
        <v>0.14305196363531242</v>
      </c>
      <c r="G52">
        <f>F52*100</f>
        <v>14.305196363531241</v>
      </c>
    </row>
    <row r="53" spans="1:7" x14ac:dyDescent="0.3">
      <c r="A53" t="s">
        <v>185</v>
      </c>
      <c r="B53" s="33">
        <v>14.501792683620639</v>
      </c>
      <c r="C53">
        <f>$C$7</f>
        <v>16.042000000000002</v>
      </c>
      <c r="D53" s="33">
        <f t="shared" si="4"/>
        <v>0.1450179268362064</v>
      </c>
      <c r="E53" s="33">
        <f t="shared" ref="E53:E65" si="5">D53*C53</f>
        <v>2.3263775823064234</v>
      </c>
      <c r="F53">
        <f t="shared" ref="F53:F66" si="6">E53/$E$66</f>
        <v>0.23129509582662486</v>
      </c>
      <c r="G53">
        <f t="shared" ref="G53:G65" si="7">F53*100</f>
        <v>23.129509582662486</v>
      </c>
    </row>
    <row r="54" spans="1:7" x14ac:dyDescent="0.3">
      <c r="A54" t="s">
        <v>187</v>
      </c>
      <c r="B54" s="33">
        <v>2.6644391818854185</v>
      </c>
      <c r="C54">
        <f>$C$8</f>
        <v>30.068999999999999</v>
      </c>
      <c r="D54" s="33">
        <f t="shared" si="4"/>
        <v>2.6644391818854186E-2</v>
      </c>
      <c r="E54" s="33">
        <f t="shared" si="5"/>
        <v>0.8011702176011265</v>
      </c>
      <c r="F54">
        <f t="shared" si="6"/>
        <v>7.9654628579154868E-2</v>
      </c>
      <c r="G54">
        <f t="shared" si="7"/>
        <v>7.9654628579154867</v>
      </c>
    </row>
    <row r="55" spans="1:7" x14ac:dyDescent="0.3">
      <c r="A55" t="s">
        <v>189</v>
      </c>
      <c r="B55" s="33">
        <v>0.13090038314176247</v>
      </c>
      <c r="C55">
        <f>$C$9</f>
        <v>28.053000000000001</v>
      </c>
      <c r="D55" s="33">
        <f t="shared" si="4"/>
        <v>1.3090038314176246E-3</v>
      </c>
      <c r="E55" s="33">
        <f t="shared" si="5"/>
        <v>3.6721484482758623E-2</v>
      </c>
      <c r="F55">
        <f t="shared" si="6"/>
        <v>3.650954744807559E-3</v>
      </c>
      <c r="G55">
        <f t="shared" si="7"/>
        <v>0.36509547448075591</v>
      </c>
    </row>
    <row r="56" spans="1:7" x14ac:dyDescent="0.3">
      <c r="A56" t="s">
        <v>191</v>
      </c>
      <c r="B56" s="33">
        <v>2.827565426409512</v>
      </c>
      <c r="C56">
        <f>$C$10</f>
        <v>44.095999999999997</v>
      </c>
      <c r="D56" s="33">
        <f t="shared" si="4"/>
        <v>2.8275654264095122E-2</v>
      </c>
      <c r="E56" s="33">
        <f t="shared" si="5"/>
        <v>1.2468432504295384</v>
      </c>
      <c r="F56">
        <f t="shared" si="6"/>
        <v>0.12396471290054531</v>
      </c>
      <c r="G56">
        <f t="shared" si="7"/>
        <v>12.396471290054532</v>
      </c>
    </row>
    <row r="57" spans="1:7" x14ac:dyDescent="0.3">
      <c r="A57" t="s">
        <v>193</v>
      </c>
      <c r="B57" s="33">
        <v>0.24227147929963186</v>
      </c>
      <c r="C57">
        <f>$C$11</f>
        <v>42.08</v>
      </c>
      <c r="D57" s="33">
        <f t="shared" si="4"/>
        <v>2.4227147929963186E-3</v>
      </c>
      <c r="E57" s="33">
        <f t="shared" si="5"/>
        <v>0.10194783848928508</v>
      </c>
      <c r="F57">
        <f t="shared" si="6"/>
        <v>1.0135944935180594E-2</v>
      </c>
      <c r="G57">
        <f t="shared" si="7"/>
        <v>1.0135944935180594</v>
      </c>
    </row>
    <row r="58" spans="1:7" x14ac:dyDescent="0.3">
      <c r="A58" t="s">
        <v>208</v>
      </c>
      <c r="B58" s="33">
        <v>1.9038713944359107</v>
      </c>
      <c r="C58">
        <f>$C$12</f>
        <v>58.122</v>
      </c>
      <c r="D58" s="33">
        <f t="shared" si="4"/>
        <v>1.9038713944359107E-2</v>
      </c>
      <c r="E58" s="33">
        <f t="shared" si="5"/>
        <v>1.1065681318740401</v>
      </c>
      <c r="F58">
        <f t="shared" si="6"/>
        <v>0.11001816044270291</v>
      </c>
      <c r="G58">
        <f t="shared" si="7"/>
        <v>11.00181604427029</v>
      </c>
    </row>
    <row r="59" spans="1:7" x14ac:dyDescent="0.3">
      <c r="A59" t="s">
        <v>210</v>
      </c>
      <c r="B59" s="33">
        <v>1.5101983558058827</v>
      </c>
      <c r="C59">
        <f>$C$14</f>
        <v>56.106000000000002</v>
      </c>
      <c r="D59" s="33">
        <f t="shared" si="4"/>
        <v>1.5101983558058828E-2</v>
      </c>
      <c r="E59" s="33">
        <f t="shared" si="5"/>
        <v>0.8473118895084486</v>
      </c>
      <c r="F59">
        <f t="shared" si="6"/>
        <v>8.4242165231233485E-2</v>
      </c>
      <c r="G59">
        <f t="shared" si="7"/>
        <v>8.4242165231233486</v>
      </c>
    </row>
    <row r="60" spans="1:7" x14ac:dyDescent="0.3">
      <c r="A60" t="s">
        <v>226</v>
      </c>
      <c r="B60" s="33">
        <v>0.4793337009466041</v>
      </c>
      <c r="C60">
        <f>$C$16</f>
        <v>72.149000000000001</v>
      </c>
      <c r="D60" s="33">
        <f t="shared" si="4"/>
        <v>4.7933370094660407E-3</v>
      </c>
      <c r="E60" s="33">
        <f t="shared" si="5"/>
        <v>0.34583447189596539</v>
      </c>
      <c r="F60">
        <f t="shared" si="6"/>
        <v>3.4383849778170487E-2</v>
      </c>
      <c r="G60">
        <f t="shared" si="7"/>
        <v>3.4383849778170488</v>
      </c>
    </row>
    <row r="61" spans="1:7" x14ac:dyDescent="0.3">
      <c r="A61" t="s">
        <v>227</v>
      </c>
      <c r="B61" s="33">
        <v>0.45241508789895885</v>
      </c>
      <c r="C61">
        <f>$C$18</f>
        <v>86.16</v>
      </c>
      <c r="D61" s="33">
        <f t="shared" si="4"/>
        <v>4.5241508789895888E-3</v>
      </c>
      <c r="E61" s="33">
        <f t="shared" si="5"/>
        <v>0.38980083973374297</v>
      </c>
      <c r="F61">
        <f t="shared" si="6"/>
        <v>3.8755111494037535E-2</v>
      </c>
      <c r="G61">
        <f t="shared" si="7"/>
        <v>3.8755111494037533</v>
      </c>
    </row>
    <row r="62" spans="1:7" x14ac:dyDescent="0.3">
      <c r="A62" t="s">
        <v>215</v>
      </c>
      <c r="B62" s="33">
        <v>3.9914506172839497E-4</v>
      </c>
      <c r="C62">
        <f>$C$19</f>
        <v>34.08</v>
      </c>
      <c r="D62" s="33">
        <f t="shared" si="4"/>
        <v>3.9914506172839497E-6</v>
      </c>
      <c r="E62" s="33">
        <f t="shared" si="5"/>
        <v>1.3602863703703701E-4</v>
      </c>
      <c r="F62">
        <f t="shared" si="6"/>
        <v>1.3524355151090201E-5</v>
      </c>
      <c r="G62">
        <f t="shared" si="7"/>
        <v>1.35243551510902E-3</v>
      </c>
    </row>
    <row r="63" spans="1:7" x14ac:dyDescent="0.3">
      <c r="A63" t="s">
        <v>199</v>
      </c>
      <c r="B63" s="33">
        <v>0.27871141975308644</v>
      </c>
      <c r="C63">
        <f>$C$20</f>
        <v>28.01</v>
      </c>
      <c r="D63" s="33">
        <f t="shared" si="4"/>
        <v>2.7871141975308643E-3</v>
      </c>
      <c r="E63" s="33">
        <f t="shared" si="5"/>
        <v>7.806706867283951E-2</v>
      </c>
      <c r="F63">
        <f t="shared" si="6"/>
        <v>7.7616506739574343E-3</v>
      </c>
      <c r="G63">
        <f t="shared" si="7"/>
        <v>0.77616506739574342</v>
      </c>
    </row>
    <row r="64" spans="1:7" x14ac:dyDescent="0.3">
      <c r="A64" t="s">
        <v>200</v>
      </c>
      <c r="B64" s="33">
        <v>1.488436122440572</v>
      </c>
      <c r="C64">
        <f>$C$21</f>
        <v>44.01</v>
      </c>
      <c r="D64" s="33">
        <f t="shared" si="4"/>
        <v>1.488436122440572E-2</v>
      </c>
      <c r="E64" s="33">
        <f t="shared" si="5"/>
        <v>0.65506073748609572</v>
      </c>
      <c r="F64">
        <f t="shared" si="6"/>
        <v>6.5128007251038456E-2</v>
      </c>
      <c r="G64">
        <f t="shared" si="7"/>
        <v>6.5128007251038458</v>
      </c>
    </row>
    <row r="65" spans="1:7" x14ac:dyDescent="0.3">
      <c r="A65" t="s">
        <v>202</v>
      </c>
      <c r="B65" s="33">
        <v>2.4394461610294025</v>
      </c>
      <c r="C65">
        <f>$C$22</f>
        <v>28.013999999999999</v>
      </c>
      <c r="D65" s="33">
        <f t="shared" si="4"/>
        <v>2.4394461610294026E-2</v>
      </c>
      <c r="E65" s="33">
        <f t="shared" si="5"/>
        <v>0.68338644755077682</v>
      </c>
      <c r="F65">
        <f t="shared" si="6"/>
        <v>6.7944230152082841E-2</v>
      </c>
      <c r="G65">
        <f t="shared" si="7"/>
        <v>6.7944230152082845</v>
      </c>
    </row>
    <row r="66" spans="1:7" x14ac:dyDescent="0.3">
      <c r="A66" s="25" t="s">
        <v>97</v>
      </c>
      <c r="B66" s="37">
        <f>SUM(B52:B65)</f>
        <v>100.29000713094345</v>
      </c>
      <c r="C66" s="38"/>
      <c r="D66" s="37">
        <f>SUM(D52:D65)</f>
        <v>1.0029000713094347</v>
      </c>
      <c r="E66" s="37">
        <f>SUM(E52:E65)</f>
        <v>10.058049756706641</v>
      </c>
      <c r="F66">
        <f t="shared" si="6"/>
        <v>1</v>
      </c>
      <c r="G66">
        <f>SUM(G52:G65)</f>
        <v>99.999999999999957</v>
      </c>
    </row>
    <row r="67" spans="1:7" x14ac:dyDescent="0.3">
      <c r="E67" t="s">
        <v>228</v>
      </c>
    </row>
    <row r="69" spans="1:7" ht="15.6" x14ac:dyDescent="0.3">
      <c r="A69" s="80" t="s">
        <v>230</v>
      </c>
      <c r="B69" s="79"/>
      <c r="C69" s="79"/>
      <c r="D69" s="79"/>
      <c r="E69" s="79"/>
      <c r="F69" s="79"/>
    </row>
    <row r="70" spans="1:7" x14ac:dyDescent="0.3">
      <c r="A70" s="78" t="s">
        <v>231</v>
      </c>
      <c r="B70" s="79"/>
      <c r="C70" s="79"/>
      <c r="D70" s="79"/>
      <c r="E70" s="79"/>
      <c r="F70" s="79"/>
    </row>
    <row r="71" spans="1:7" x14ac:dyDescent="0.3">
      <c r="A71" s="36" t="s">
        <v>28</v>
      </c>
      <c r="B71" s="36" t="s">
        <v>221</v>
      </c>
      <c r="C71" s="36" t="s">
        <v>29</v>
      </c>
      <c r="D71" s="36" t="s">
        <v>222</v>
      </c>
      <c r="E71" s="36" t="s">
        <v>223</v>
      </c>
      <c r="F71" s="36" t="s">
        <v>224</v>
      </c>
      <c r="G71" s="36" t="s">
        <v>225</v>
      </c>
    </row>
    <row r="72" spans="1:7" x14ac:dyDescent="0.3">
      <c r="A72" t="s">
        <v>183</v>
      </c>
      <c r="B72" s="33">
        <v>33.098653894554388</v>
      </c>
      <c r="C72">
        <f>$C$6</f>
        <v>2.016</v>
      </c>
      <c r="D72" s="33">
        <f>B72/100</f>
        <v>0.33098653894554386</v>
      </c>
      <c r="E72" s="33">
        <f>D72*C72</f>
        <v>0.66726886251421647</v>
      </c>
      <c r="F72">
        <f>E72/$E$88</f>
        <v>4.1464412478519307E-2</v>
      </c>
      <c r="G72">
        <f>F72*100</f>
        <v>4.1464412478519304</v>
      </c>
    </row>
    <row r="73" spans="1:7" x14ac:dyDescent="0.3">
      <c r="A73" t="s">
        <v>185</v>
      </c>
      <c r="B73" s="33">
        <v>50.222846945580315</v>
      </c>
      <c r="C73">
        <f>$C$7</f>
        <v>16.042000000000002</v>
      </c>
      <c r="D73" s="33">
        <f>B73/100</f>
        <v>0.50222846945580313</v>
      </c>
      <c r="E73" s="33">
        <f t="shared" ref="E73:E87" si="8">D73*C73</f>
        <v>8.0567491070099955</v>
      </c>
      <c r="F73">
        <f t="shared" ref="F73:F87" si="9">E73/$E$88</f>
        <v>0.50065031799964599</v>
      </c>
      <c r="G73">
        <f t="shared" ref="G73:G87" si="10">F73*100</f>
        <v>50.065031799964601</v>
      </c>
    </row>
    <row r="74" spans="1:7" x14ac:dyDescent="0.3">
      <c r="A74" t="s">
        <v>187</v>
      </c>
      <c r="B74" s="33">
        <v>6.085476793536575</v>
      </c>
      <c r="C74">
        <f>$C$8</f>
        <v>30.068999999999999</v>
      </c>
      <c r="D74" s="33">
        <f>B74/100</f>
        <v>6.0854767935365747E-2</v>
      </c>
      <c r="E74" s="33">
        <f t="shared" si="8"/>
        <v>1.8298420170485126</v>
      </c>
      <c r="F74">
        <f t="shared" si="9"/>
        <v>0.11370727517471831</v>
      </c>
      <c r="G74">
        <f t="shared" si="10"/>
        <v>11.370727517471831</v>
      </c>
    </row>
    <row r="75" spans="1:7" x14ac:dyDescent="0.3">
      <c r="A75" t="s">
        <v>189</v>
      </c>
      <c r="B75" s="33">
        <v>0.27638339804215295</v>
      </c>
      <c r="C75">
        <f>$C$9</f>
        <v>28.053000000000001</v>
      </c>
      <c r="D75" s="33">
        <f>B75/100</f>
        <v>2.7638339804215294E-3</v>
      </c>
      <c r="E75" s="33">
        <f t="shared" si="8"/>
        <v>7.7533834652765171E-2</v>
      </c>
      <c r="F75">
        <f t="shared" si="9"/>
        <v>4.8179902910051855E-3</v>
      </c>
      <c r="G75">
        <f t="shared" si="10"/>
        <v>0.48179902910051853</v>
      </c>
    </row>
    <row r="76" spans="1:7" x14ac:dyDescent="0.3">
      <c r="A76" t="s">
        <v>191</v>
      </c>
      <c r="B76" s="33">
        <v>3.1884449876933862</v>
      </c>
      <c r="C76">
        <f>$C$10</f>
        <v>44.095999999999997</v>
      </c>
      <c r="D76" s="33">
        <f t="shared" ref="D76:D87" si="11">B76/100</f>
        <v>3.1884449876933861E-2</v>
      </c>
      <c r="E76" s="33">
        <f t="shared" si="8"/>
        <v>1.4059767017732754</v>
      </c>
      <c r="F76">
        <f t="shared" si="9"/>
        <v>8.7368077805778266E-2</v>
      </c>
      <c r="G76">
        <f t="shared" si="10"/>
        <v>8.736807780577827</v>
      </c>
    </row>
    <row r="77" spans="1:7" x14ac:dyDescent="0.3">
      <c r="A77" t="s">
        <v>193</v>
      </c>
      <c r="B77" s="33">
        <v>0.23544214273380915</v>
      </c>
      <c r="C77">
        <f>$C$11</f>
        <v>42.08</v>
      </c>
      <c r="D77" s="33">
        <f t="shared" si="11"/>
        <v>2.3544214273380913E-3</v>
      </c>
      <c r="E77" s="33">
        <f t="shared" si="8"/>
        <v>9.9074053662386877E-2</v>
      </c>
      <c r="F77">
        <f t="shared" si="9"/>
        <v>6.156510003325147E-3</v>
      </c>
      <c r="G77">
        <f t="shared" si="10"/>
        <v>0.61565100033251474</v>
      </c>
    </row>
    <row r="78" spans="1:7" x14ac:dyDescent="0.3">
      <c r="A78" t="s">
        <v>208</v>
      </c>
      <c r="B78" s="33">
        <v>2.4778703761074441</v>
      </c>
      <c r="C78">
        <f>$C$12</f>
        <v>58.122</v>
      </c>
      <c r="D78" s="33">
        <f t="shared" si="11"/>
        <v>2.4778703761074442E-2</v>
      </c>
      <c r="E78" s="33">
        <f t="shared" si="8"/>
        <v>1.4401878200011686</v>
      </c>
      <c r="F78">
        <f t="shared" si="9"/>
        <v>8.9493973373882235E-2</v>
      </c>
      <c r="G78">
        <f t="shared" si="10"/>
        <v>8.9493973373882234</v>
      </c>
    </row>
    <row r="79" spans="1:7" x14ac:dyDescent="0.3">
      <c r="A79" t="s">
        <v>232</v>
      </c>
      <c r="B79" s="33">
        <v>1.8501827065409864</v>
      </c>
      <c r="C79">
        <f>$C$13</f>
        <v>58.122999999999998</v>
      </c>
      <c r="D79" s="33">
        <f t="shared" si="11"/>
        <v>1.8501827065409863E-2</v>
      </c>
      <c r="E79" s="33">
        <f t="shared" si="8"/>
        <v>1.0753816945228174</v>
      </c>
      <c r="F79">
        <f t="shared" si="9"/>
        <v>6.6824742856322228E-2</v>
      </c>
      <c r="G79">
        <f t="shared" si="10"/>
        <v>6.6824742856322228</v>
      </c>
    </row>
    <row r="80" spans="1:7" x14ac:dyDescent="0.3">
      <c r="A80" t="s">
        <v>210</v>
      </c>
      <c r="B80" s="33">
        <v>0</v>
      </c>
      <c r="C80">
        <f>$C$14</f>
        <v>56.106000000000002</v>
      </c>
      <c r="D80" s="33">
        <f t="shared" si="11"/>
        <v>0</v>
      </c>
      <c r="E80" s="33">
        <f t="shared" si="8"/>
        <v>0</v>
      </c>
      <c r="F80">
        <f t="shared" si="9"/>
        <v>0</v>
      </c>
      <c r="G80">
        <f t="shared" si="10"/>
        <v>0</v>
      </c>
    </row>
    <row r="81" spans="1:7" x14ac:dyDescent="0.3">
      <c r="A81" t="s">
        <v>226</v>
      </c>
      <c r="B81" s="33">
        <v>0</v>
      </c>
      <c r="C81">
        <f>$C$16</f>
        <v>72.149000000000001</v>
      </c>
      <c r="D81" s="33">
        <f t="shared" si="11"/>
        <v>0</v>
      </c>
      <c r="E81" s="33">
        <f t="shared" si="8"/>
        <v>0</v>
      </c>
      <c r="F81">
        <f t="shared" si="9"/>
        <v>0</v>
      </c>
      <c r="G81">
        <f t="shared" si="10"/>
        <v>0</v>
      </c>
    </row>
    <row r="82" spans="1:7" x14ac:dyDescent="0.3">
      <c r="A82" t="s">
        <v>227</v>
      </c>
      <c r="B82" s="33">
        <v>0</v>
      </c>
      <c r="C82">
        <f>$C$18</f>
        <v>86.16</v>
      </c>
      <c r="D82" s="33">
        <f t="shared" si="11"/>
        <v>0</v>
      </c>
      <c r="E82" s="33">
        <f t="shared" si="8"/>
        <v>0</v>
      </c>
      <c r="F82">
        <f t="shared" si="9"/>
        <v>0</v>
      </c>
      <c r="G82">
        <f t="shared" si="10"/>
        <v>0</v>
      </c>
    </row>
    <row r="83" spans="1:7" x14ac:dyDescent="0.3">
      <c r="A83" t="s">
        <v>74</v>
      </c>
      <c r="B83" s="33">
        <v>0.76472860918163177</v>
      </c>
      <c r="C83">
        <f>$C$15</f>
        <v>85</v>
      </c>
      <c r="D83" s="33">
        <f t="shared" si="11"/>
        <v>7.6472860918163181E-3</v>
      </c>
      <c r="E83" s="33">
        <f t="shared" si="8"/>
        <v>0.65001931780438704</v>
      </c>
      <c r="F83">
        <f t="shared" si="9"/>
        <v>4.0392517359331442E-2</v>
      </c>
      <c r="G83">
        <f t="shared" si="10"/>
        <v>4.0392517359331439</v>
      </c>
    </row>
    <row r="84" spans="1:7" x14ac:dyDescent="0.3">
      <c r="A84" t="s">
        <v>215</v>
      </c>
      <c r="B84" s="33">
        <v>0</v>
      </c>
      <c r="C84">
        <f>$C$19</f>
        <v>34.08</v>
      </c>
      <c r="D84" s="33">
        <f t="shared" si="11"/>
        <v>0</v>
      </c>
      <c r="E84" s="33">
        <f t="shared" si="8"/>
        <v>0</v>
      </c>
      <c r="F84">
        <f t="shared" si="9"/>
        <v>0</v>
      </c>
      <c r="G84">
        <f t="shared" si="10"/>
        <v>0</v>
      </c>
    </row>
    <row r="85" spans="1:7" x14ac:dyDescent="0.3">
      <c r="A85" t="s">
        <v>199</v>
      </c>
      <c r="B85" s="33">
        <v>0</v>
      </c>
      <c r="C85">
        <f>$C$20</f>
        <v>28.01</v>
      </c>
      <c r="D85" s="33">
        <f t="shared" si="11"/>
        <v>0</v>
      </c>
      <c r="E85" s="33">
        <f t="shared" si="8"/>
        <v>0</v>
      </c>
      <c r="F85">
        <f t="shared" si="9"/>
        <v>0</v>
      </c>
      <c r="G85">
        <f t="shared" si="10"/>
        <v>0</v>
      </c>
    </row>
    <row r="86" spans="1:7" x14ac:dyDescent="0.3">
      <c r="A86" t="s">
        <v>200</v>
      </c>
      <c r="B86" s="33">
        <v>1.796260468609963</v>
      </c>
      <c r="C86">
        <f>$C$21</f>
        <v>44.01</v>
      </c>
      <c r="D86" s="33">
        <f t="shared" si="11"/>
        <v>1.7962604686099629E-2</v>
      </c>
      <c r="E86" s="33">
        <f t="shared" si="8"/>
        <v>0.79053423223524466</v>
      </c>
      <c r="F86">
        <f t="shared" si="9"/>
        <v>4.9124182657471732E-2</v>
      </c>
      <c r="G86">
        <f t="shared" si="10"/>
        <v>4.9124182657471733</v>
      </c>
    </row>
    <row r="87" spans="1:7" x14ac:dyDescent="0.3">
      <c r="A87" t="s">
        <v>202</v>
      </c>
      <c r="B87" s="33">
        <v>0</v>
      </c>
      <c r="C87">
        <f>$C$22</f>
        <v>28.013999999999999</v>
      </c>
      <c r="D87" s="33">
        <f t="shared" si="11"/>
        <v>0</v>
      </c>
      <c r="E87" s="33">
        <f t="shared" si="8"/>
        <v>0</v>
      </c>
      <c r="F87">
        <f t="shared" si="9"/>
        <v>0</v>
      </c>
      <c r="G87">
        <f t="shared" si="10"/>
        <v>0</v>
      </c>
    </row>
    <row r="88" spans="1:7" x14ac:dyDescent="0.3">
      <c r="A88" s="25" t="s">
        <v>97</v>
      </c>
      <c r="B88" s="37">
        <f>SUM(B72:B87)</f>
        <v>99.996290322580649</v>
      </c>
      <c r="C88" s="38"/>
      <c r="D88" s="37">
        <f>SUM(D72:D87)</f>
        <v>0.9999629032258065</v>
      </c>
      <c r="E88" s="37">
        <f>SUM(E72:E87)</f>
        <v>16.092567641224772</v>
      </c>
      <c r="F88">
        <f>E88/$E$88</f>
        <v>1</v>
      </c>
      <c r="G88">
        <f>SUM(G72:G87)</f>
        <v>99.999999999999986</v>
      </c>
    </row>
    <row r="89" spans="1:7" x14ac:dyDescent="0.3">
      <c r="E89" t="s">
        <v>228</v>
      </c>
    </row>
    <row r="91" spans="1:7" ht="15.6" x14ac:dyDescent="0.3">
      <c r="A91" s="80" t="s">
        <v>233</v>
      </c>
      <c r="B91" s="79"/>
      <c r="C91" s="79"/>
      <c r="D91" s="79"/>
      <c r="E91" s="79"/>
      <c r="F91" s="79"/>
    </row>
    <row r="92" spans="1:7" x14ac:dyDescent="0.3">
      <c r="A92" s="78" t="s">
        <v>231</v>
      </c>
      <c r="B92" s="79"/>
      <c r="C92" s="79"/>
      <c r="D92" s="79"/>
      <c r="E92" s="79"/>
      <c r="F92" s="79"/>
    </row>
    <row r="93" spans="1:7" x14ac:dyDescent="0.3">
      <c r="A93" s="36" t="s">
        <v>28</v>
      </c>
      <c r="B93" s="36" t="s">
        <v>221</v>
      </c>
      <c r="C93" s="36" t="s">
        <v>29</v>
      </c>
      <c r="D93" s="36" t="s">
        <v>222</v>
      </c>
      <c r="E93" s="36" t="s">
        <v>223</v>
      </c>
      <c r="F93" s="36" t="s">
        <v>224</v>
      </c>
      <c r="G93" s="36" t="s">
        <v>225</v>
      </c>
    </row>
    <row r="94" spans="1:7" x14ac:dyDescent="0.3">
      <c r="A94" t="s">
        <v>183</v>
      </c>
      <c r="B94" s="33">
        <v>3.0000000000000009E-3</v>
      </c>
      <c r="C94">
        <f>$C$6</f>
        <v>2.016</v>
      </c>
      <c r="D94" s="33">
        <f>B94/100</f>
        <v>3.0000000000000011E-5</v>
      </c>
      <c r="E94" s="33">
        <f>D94*C94</f>
        <v>6.0480000000000024E-5</v>
      </c>
      <c r="F94">
        <f>E94/$E$110</f>
        <v>3.3822803088379205E-6</v>
      </c>
      <c r="G94">
        <f>F94*100</f>
        <v>3.3822803088379204E-4</v>
      </c>
    </row>
    <row r="95" spans="1:7" x14ac:dyDescent="0.3">
      <c r="A95" t="s">
        <v>185</v>
      </c>
      <c r="B95" s="33">
        <v>91.147552851997361</v>
      </c>
      <c r="C95">
        <f>$C$7</f>
        <v>16.042000000000002</v>
      </c>
      <c r="D95" s="33">
        <f>B95/100</f>
        <v>0.9114755285199736</v>
      </c>
      <c r="E95" s="33">
        <f t="shared" ref="E95:E109" si="12">D95*C95</f>
        <v>14.621890428517418</v>
      </c>
      <c r="F95">
        <f t="shared" ref="F95:F109" si="13">E95/$E$110</f>
        <v>0.81771382398082182</v>
      </c>
      <c r="G95">
        <f t="shared" ref="G95:G109" si="14">F95*100</f>
        <v>81.771382398082181</v>
      </c>
    </row>
    <row r="96" spans="1:7" x14ac:dyDescent="0.3">
      <c r="A96" t="s">
        <v>187</v>
      </c>
      <c r="B96" s="33">
        <v>4.4423600835443953</v>
      </c>
      <c r="C96">
        <f>$C$8</f>
        <v>30.068999999999999</v>
      </c>
      <c r="D96" s="33">
        <f>B96/100</f>
        <v>4.4423600835443951E-2</v>
      </c>
      <c r="E96" s="33">
        <f t="shared" si="12"/>
        <v>1.3357732535209641</v>
      </c>
      <c r="F96">
        <f t="shared" si="13"/>
        <v>7.4701712507544954E-2</v>
      </c>
      <c r="G96">
        <f t="shared" si="14"/>
        <v>7.4701712507544951</v>
      </c>
    </row>
    <row r="97" spans="1:7" x14ac:dyDescent="0.3">
      <c r="A97" t="s">
        <v>189</v>
      </c>
      <c r="B97" s="33">
        <v>0</v>
      </c>
      <c r="C97">
        <f>$C$9</f>
        <v>28.053000000000001</v>
      </c>
      <c r="D97" s="33">
        <f>B97/100</f>
        <v>0</v>
      </c>
      <c r="E97" s="33">
        <f t="shared" si="12"/>
        <v>0</v>
      </c>
      <c r="F97">
        <f t="shared" si="13"/>
        <v>0</v>
      </c>
      <c r="G97">
        <f t="shared" si="14"/>
        <v>0</v>
      </c>
    </row>
    <row r="98" spans="1:7" x14ac:dyDescent="0.3">
      <c r="A98" t="s">
        <v>191</v>
      </c>
      <c r="B98" s="33">
        <v>0.81878017234722744</v>
      </c>
      <c r="C98">
        <f>$C$10</f>
        <v>44.095999999999997</v>
      </c>
      <c r="D98" s="33">
        <f t="shared" ref="D98:D109" si="15">B98/100</f>
        <v>8.1878017234722749E-3</v>
      </c>
      <c r="E98" s="33">
        <f t="shared" si="12"/>
        <v>0.36104930479823338</v>
      </c>
      <c r="F98">
        <f t="shared" si="13"/>
        <v>2.0191302151763967E-2</v>
      </c>
      <c r="G98">
        <f t="shared" si="14"/>
        <v>2.0191302151763968</v>
      </c>
    </row>
    <row r="99" spans="1:7" x14ac:dyDescent="0.3">
      <c r="A99" t="s">
        <v>193</v>
      </c>
      <c r="B99" s="33">
        <v>0</v>
      </c>
      <c r="C99">
        <f>$C$11</f>
        <v>42.08</v>
      </c>
      <c r="D99" s="33">
        <f t="shared" si="15"/>
        <v>0</v>
      </c>
      <c r="E99" s="33">
        <f t="shared" si="12"/>
        <v>0</v>
      </c>
      <c r="F99">
        <f t="shared" si="13"/>
        <v>0</v>
      </c>
      <c r="G99">
        <f t="shared" si="14"/>
        <v>0</v>
      </c>
    </row>
    <row r="100" spans="1:7" x14ac:dyDescent="0.3">
      <c r="A100" t="s">
        <v>208</v>
      </c>
      <c r="B100" s="33">
        <v>0.13449712943309694</v>
      </c>
      <c r="C100">
        <f>$C$12</f>
        <v>58.122</v>
      </c>
      <c r="D100" s="33">
        <f t="shared" si="15"/>
        <v>1.3449712943309695E-3</v>
      </c>
      <c r="E100" s="33">
        <f t="shared" si="12"/>
        <v>7.8172421569104603E-2</v>
      </c>
      <c r="F100">
        <f t="shared" si="13"/>
        <v>4.371710353296282E-3</v>
      </c>
      <c r="G100">
        <f t="shared" si="14"/>
        <v>0.4371710353296282</v>
      </c>
    </row>
    <row r="101" spans="1:7" x14ac:dyDescent="0.3">
      <c r="A101" t="s">
        <v>232</v>
      </c>
      <c r="B101" s="33">
        <v>0.11658598083640401</v>
      </c>
      <c r="C101">
        <f>$C$13</f>
        <v>58.122999999999998</v>
      </c>
      <c r="D101" s="33">
        <f t="shared" si="15"/>
        <v>1.16585980836404E-3</v>
      </c>
      <c r="E101" s="33">
        <f t="shared" si="12"/>
        <v>6.7763269641543097E-2</v>
      </c>
      <c r="F101">
        <f t="shared" si="13"/>
        <v>3.7895894935692058E-3</v>
      </c>
      <c r="G101">
        <f t="shared" si="14"/>
        <v>0.37895894935692059</v>
      </c>
    </row>
    <row r="102" spans="1:7" x14ac:dyDescent="0.3">
      <c r="A102" t="s">
        <v>210</v>
      </c>
      <c r="B102" s="33">
        <v>0</v>
      </c>
      <c r="C102">
        <f>$C$14</f>
        <v>56.106000000000002</v>
      </c>
      <c r="D102" s="33">
        <f t="shared" si="15"/>
        <v>0</v>
      </c>
      <c r="E102" s="33">
        <f t="shared" si="12"/>
        <v>0</v>
      </c>
      <c r="F102">
        <f t="shared" si="13"/>
        <v>0</v>
      </c>
      <c r="G102">
        <f t="shared" si="14"/>
        <v>0</v>
      </c>
    </row>
    <row r="103" spans="1:7" x14ac:dyDescent="0.3">
      <c r="A103" t="s">
        <v>226</v>
      </c>
      <c r="B103" s="33">
        <v>0</v>
      </c>
      <c r="C103">
        <f>$C$16</f>
        <v>72.149000000000001</v>
      </c>
      <c r="D103" s="33">
        <f t="shared" si="15"/>
        <v>0</v>
      </c>
      <c r="E103" s="33">
        <f t="shared" si="12"/>
        <v>0</v>
      </c>
      <c r="F103">
        <f t="shared" si="13"/>
        <v>0</v>
      </c>
      <c r="G103">
        <f t="shared" si="14"/>
        <v>0</v>
      </c>
    </row>
    <row r="104" spans="1:7" x14ac:dyDescent="0.3">
      <c r="A104" t="s">
        <v>227</v>
      </c>
      <c r="B104" s="33">
        <v>0</v>
      </c>
      <c r="C104">
        <f>$C$18</f>
        <v>86.16</v>
      </c>
      <c r="D104" s="33">
        <f t="shared" si="15"/>
        <v>0</v>
      </c>
      <c r="E104" s="33">
        <f t="shared" si="12"/>
        <v>0</v>
      </c>
      <c r="F104">
        <f t="shared" si="13"/>
        <v>0</v>
      </c>
      <c r="G104">
        <f t="shared" si="14"/>
        <v>0</v>
      </c>
    </row>
    <row r="105" spans="1:7" x14ac:dyDescent="0.3">
      <c r="A105" t="s">
        <v>74</v>
      </c>
      <c r="B105" s="33">
        <v>7.8391058044827946E-2</v>
      </c>
      <c r="C105">
        <f>$C$15</f>
        <v>85</v>
      </c>
      <c r="D105" s="33">
        <f t="shared" si="15"/>
        <v>7.8391058044827947E-4</v>
      </c>
      <c r="E105" s="33">
        <f t="shared" si="12"/>
        <v>6.6632399338103748E-2</v>
      </c>
      <c r="F105">
        <f t="shared" si="13"/>
        <v>3.7263467627627828E-3</v>
      </c>
      <c r="G105">
        <f t="shared" si="14"/>
        <v>0.37263467627627828</v>
      </c>
    </row>
    <row r="106" spans="1:7" x14ac:dyDescent="0.3">
      <c r="A106" t="s">
        <v>215</v>
      </c>
      <c r="B106" s="33">
        <v>0</v>
      </c>
      <c r="C106">
        <f>$C$19</f>
        <v>34.08</v>
      </c>
      <c r="D106" s="33">
        <f t="shared" si="15"/>
        <v>0</v>
      </c>
      <c r="E106" s="33">
        <f t="shared" si="12"/>
        <v>0</v>
      </c>
      <c r="F106">
        <f t="shared" si="13"/>
        <v>0</v>
      </c>
      <c r="G106">
        <f t="shared" si="14"/>
        <v>0</v>
      </c>
    </row>
    <row r="107" spans="1:7" x14ac:dyDescent="0.3">
      <c r="A107" t="s">
        <v>199</v>
      </c>
      <c r="B107" s="33">
        <v>0</v>
      </c>
      <c r="C107">
        <f>$C$20</f>
        <v>28.01</v>
      </c>
      <c r="D107" s="33">
        <f t="shared" si="15"/>
        <v>0</v>
      </c>
      <c r="E107" s="33">
        <f t="shared" si="12"/>
        <v>0</v>
      </c>
      <c r="F107">
        <f t="shared" si="13"/>
        <v>0</v>
      </c>
      <c r="G107">
        <f t="shared" si="14"/>
        <v>0</v>
      </c>
    </row>
    <row r="108" spans="1:7" x14ac:dyDescent="0.3">
      <c r="A108" t="s">
        <v>200</v>
      </c>
      <c r="B108" s="33">
        <v>2.732911388931266</v>
      </c>
      <c r="C108">
        <f>$C$21</f>
        <v>44.01</v>
      </c>
      <c r="D108" s="33">
        <f t="shared" si="15"/>
        <v>2.732911388931266E-2</v>
      </c>
      <c r="E108" s="33">
        <f t="shared" si="12"/>
        <v>1.2027543022686502</v>
      </c>
      <c r="F108">
        <f t="shared" si="13"/>
        <v>6.7262767740300031E-2</v>
      </c>
      <c r="G108">
        <f t="shared" si="14"/>
        <v>6.7262767740300031</v>
      </c>
    </row>
    <row r="109" spans="1:7" x14ac:dyDescent="0.3">
      <c r="A109" t="s">
        <v>202</v>
      </c>
      <c r="B109" s="33">
        <v>0.52592133486542736</v>
      </c>
      <c r="C109">
        <f>$C$22</f>
        <v>28.013999999999999</v>
      </c>
      <c r="D109" s="33">
        <f t="shared" si="15"/>
        <v>5.2592133486542734E-3</v>
      </c>
      <c r="E109" s="33">
        <f t="shared" si="12"/>
        <v>0.14733160274920082</v>
      </c>
      <c r="F109">
        <f t="shared" si="13"/>
        <v>8.2393647296321523E-3</v>
      </c>
      <c r="G109">
        <f t="shared" si="14"/>
        <v>0.82393647296321526</v>
      </c>
    </row>
    <row r="110" spans="1:7" x14ac:dyDescent="0.3">
      <c r="A110" s="25" t="s">
        <v>97</v>
      </c>
      <c r="B110" s="37">
        <f>SUM(B94:B109)</f>
        <v>100.00000000000003</v>
      </c>
      <c r="C110" s="38"/>
      <c r="D110" s="37">
        <f>SUM(D94:D109)</f>
        <v>1</v>
      </c>
      <c r="E110" s="37">
        <f>SUM(E94:E109)</f>
        <v>17.881427462403217</v>
      </c>
      <c r="F110">
        <f>E110/$E$88</f>
        <v>1.111160621540336</v>
      </c>
      <c r="G110">
        <f>SUM(G94:G109)</f>
        <v>99.999999999999986</v>
      </c>
    </row>
    <row r="111" spans="1:7" x14ac:dyDescent="0.3">
      <c r="E111" t="s">
        <v>228</v>
      </c>
    </row>
    <row r="113" spans="1:7" ht="15.6" x14ac:dyDescent="0.3">
      <c r="A113" s="80" t="s">
        <v>234</v>
      </c>
      <c r="B113" s="79"/>
      <c r="C113" s="79"/>
      <c r="D113" s="79"/>
      <c r="E113" s="79"/>
      <c r="F113" s="79"/>
    </row>
    <row r="114" spans="1:7" x14ac:dyDescent="0.3">
      <c r="A114" s="78" t="s">
        <v>235</v>
      </c>
      <c r="B114" s="79"/>
      <c r="C114" s="79"/>
      <c r="D114" s="79"/>
      <c r="E114" s="79"/>
      <c r="F114" s="79"/>
    </row>
    <row r="115" spans="1:7" x14ac:dyDescent="0.3">
      <c r="A115" s="36" t="s">
        <v>28</v>
      </c>
      <c r="B115" s="36" t="s">
        <v>221</v>
      </c>
      <c r="C115" s="36" t="s">
        <v>29</v>
      </c>
      <c r="D115" s="36" t="s">
        <v>222</v>
      </c>
      <c r="E115" s="36" t="s">
        <v>223</v>
      </c>
      <c r="F115" s="36" t="s">
        <v>224</v>
      </c>
      <c r="G115" s="36" t="s">
        <v>225</v>
      </c>
    </row>
    <row r="116" spans="1:7" x14ac:dyDescent="0.3">
      <c r="A116" t="s">
        <v>183</v>
      </c>
      <c r="B116" s="33">
        <v>27.98907987711214</v>
      </c>
      <c r="C116">
        <f>$C$6</f>
        <v>2.016</v>
      </c>
      <c r="D116" s="33">
        <f>B116/100</f>
        <v>0.27989079877112139</v>
      </c>
      <c r="E116" s="33">
        <f>D116*C116</f>
        <v>0.56425985032258075</v>
      </c>
      <c r="F116">
        <f>E116/$E$132</f>
        <v>2.1194240046430491E-2</v>
      </c>
      <c r="G116">
        <f>F116*100</f>
        <v>2.119424004643049</v>
      </c>
    </row>
    <row r="117" spans="1:7" x14ac:dyDescent="0.3">
      <c r="A117" t="s">
        <v>185</v>
      </c>
      <c r="B117" s="33">
        <v>13.113559139784945</v>
      </c>
      <c r="C117">
        <f>$C$7</f>
        <v>16.042000000000002</v>
      </c>
      <c r="D117" s="33">
        <f>B117/100</f>
        <v>0.13113559139784944</v>
      </c>
      <c r="E117" s="33">
        <f t="shared" ref="E117:E131" si="16">D117*C117</f>
        <v>2.1036771572043009</v>
      </c>
      <c r="F117">
        <f t="shared" ref="F117:F131" si="17">E117/$E$132</f>
        <v>7.9016500331347772E-2</v>
      </c>
      <c r="G117">
        <f t="shared" ref="G117:G131" si="18">F117*100</f>
        <v>7.9016500331347768</v>
      </c>
    </row>
    <row r="118" spans="1:7" x14ac:dyDescent="0.3">
      <c r="A118" t="s">
        <v>187</v>
      </c>
      <c r="B118" s="33">
        <v>4.8387096774193551E-3</v>
      </c>
      <c r="C118">
        <f>$C$8</f>
        <v>30.068999999999999</v>
      </c>
      <c r="D118" s="33">
        <f>B118/100</f>
        <v>4.8387096774193554E-5</v>
      </c>
      <c r="E118" s="33">
        <f t="shared" si="16"/>
        <v>1.4549516129032259E-3</v>
      </c>
      <c r="F118">
        <f t="shared" si="17"/>
        <v>5.4649633005402142E-5</v>
      </c>
      <c r="G118">
        <f t="shared" si="18"/>
        <v>5.464963300540214E-3</v>
      </c>
    </row>
    <row r="119" spans="1:7" x14ac:dyDescent="0.3">
      <c r="A119" t="s">
        <v>189</v>
      </c>
      <c r="B119" s="33">
        <v>0</v>
      </c>
      <c r="C119">
        <f>$C$9</f>
        <v>28.053000000000001</v>
      </c>
      <c r="D119" s="33">
        <f>B119/100</f>
        <v>0</v>
      </c>
      <c r="E119" s="33">
        <f t="shared" si="16"/>
        <v>0</v>
      </c>
      <c r="F119">
        <f t="shared" si="17"/>
        <v>0</v>
      </c>
      <c r="G119">
        <f t="shared" si="18"/>
        <v>0</v>
      </c>
    </row>
    <row r="120" spans="1:7" x14ac:dyDescent="0.3">
      <c r="A120" t="s">
        <v>191</v>
      </c>
      <c r="B120" s="33">
        <v>5.8064516129032271E-3</v>
      </c>
      <c r="C120">
        <f>$C$10</f>
        <v>44.095999999999997</v>
      </c>
      <c r="D120" s="33">
        <f t="shared" ref="D120:D131" si="19">B120/100</f>
        <v>5.8064516129032273E-5</v>
      </c>
      <c r="E120" s="33">
        <f t="shared" si="16"/>
        <v>2.5604129032258068E-3</v>
      </c>
      <c r="F120">
        <f t="shared" si="17"/>
        <v>9.6172013050232986E-5</v>
      </c>
      <c r="G120">
        <f t="shared" si="18"/>
        <v>9.6172013050232989E-3</v>
      </c>
    </row>
    <row r="121" spans="1:7" x14ac:dyDescent="0.3">
      <c r="A121" t="s">
        <v>193</v>
      </c>
      <c r="B121" s="33">
        <v>0</v>
      </c>
      <c r="C121">
        <f>$C$11</f>
        <v>42.08</v>
      </c>
      <c r="D121" s="33">
        <f t="shared" si="19"/>
        <v>0</v>
      </c>
      <c r="E121" s="33">
        <f t="shared" si="16"/>
        <v>0</v>
      </c>
      <c r="F121">
        <f t="shared" si="17"/>
        <v>0</v>
      </c>
      <c r="G121">
        <f t="shared" si="18"/>
        <v>0</v>
      </c>
    </row>
    <row r="122" spans="1:7" x14ac:dyDescent="0.3">
      <c r="A122" t="s">
        <v>208</v>
      </c>
      <c r="B122" s="33">
        <v>2.258064516129032E-3</v>
      </c>
      <c r="C122">
        <f>$C$12</f>
        <v>58.122</v>
      </c>
      <c r="D122" s="33">
        <f t="shared" si="19"/>
        <v>2.2580645161290321E-5</v>
      </c>
      <c r="E122" s="33">
        <f t="shared" si="16"/>
        <v>1.312432258064516E-3</v>
      </c>
      <c r="F122">
        <f t="shared" si="17"/>
        <v>4.9296444370791361E-5</v>
      </c>
      <c r="G122">
        <f t="shared" si="18"/>
        <v>4.9296444370791363E-3</v>
      </c>
    </row>
    <row r="123" spans="1:7" x14ac:dyDescent="0.3">
      <c r="A123" t="s">
        <v>232</v>
      </c>
      <c r="B123" s="33">
        <v>2.9032258064516136E-3</v>
      </c>
      <c r="C123">
        <f>$C$13</f>
        <v>58.122999999999998</v>
      </c>
      <c r="D123" s="33">
        <f t="shared" si="19"/>
        <v>2.9032258064516136E-5</v>
      </c>
      <c r="E123" s="33">
        <f t="shared" si="16"/>
        <v>1.6874419354838714E-3</v>
      </c>
      <c r="F123">
        <f t="shared" si="17"/>
        <v>6.3382233246991705E-5</v>
      </c>
      <c r="G123">
        <f t="shared" si="18"/>
        <v>6.3382233246991708E-3</v>
      </c>
    </row>
    <row r="124" spans="1:7" x14ac:dyDescent="0.3">
      <c r="A124" t="s">
        <v>210</v>
      </c>
      <c r="B124" s="33">
        <v>0</v>
      </c>
      <c r="C124">
        <f>$C$14</f>
        <v>56.106000000000002</v>
      </c>
      <c r="D124" s="33">
        <f t="shared" si="19"/>
        <v>0</v>
      </c>
      <c r="E124" s="33">
        <f t="shared" si="16"/>
        <v>0</v>
      </c>
      <c r="F124">
        <f t="shared" si="17"/>
        <v>0</v>
      </c>
      <c r="G124">
        <f t="shared" si="18"/>
        <v>0</v>
      </c>
    </row>
    <row r="125" spans="1:7" x14ac:dyDescent="0.3">
      <c r="A125" t="s">
        <v>226</v>
      </c>
      <c r="B125" s="33">
        <v>0</v>
      </c>
      <c r="C125">
        <f>$C$16</f>
        <v>72.149000000000001</v>
      </c>
      <c r="D125" s="33">
        <f t="shared" si="19"/>
        <v>0</v>
      </c>
      <c r="E125" s="33">
        <f t="shared" si="16"/>
        <v>0</v>
      </c>
      <c r="F125">
        <f t="shared" si="17"/>
        <v>0</v>
      </c>
      <c r="G125">
        <f t="shared" si="18"/>
        <v>0</v>
      </c>
    </row>
    <row r="126" spans="1:7" x14ac:dyDescent="0.3">
      <c r="A126" t="s">
        <v>227</v>
      </c>
      <c r="B126" s="33">
        <v>0</v>
      </c>
      <c r="C126">
        <f>$C$18</f>
        <v>86.16</v>
      </c>
      <c r="D126" s="33">
        <f t="shared" si="19"/>
        <v>0</v>
      </c>
      <c r="E126" s="33">
        <f t="shared" si="16"/>
        <v>0</v>
      </c>
      <c r="F126">
        <f t="shared" si="17"/>
        <v>0</v>
      </c>
      <c r="G126">
        <f t="shared" si="18"/>
        <v>0</v>
      </c>
    </row>
    <row r="127" spans="1:7" x14ac:dyDescent="0.3">
      <c r="A127" t="s">
        <v>74</v>
      </c>
      <c r="B127" s="33">
        <v>9.480030721966206E-3</v>
      </c>
      <c r="C127">
        <f>$C$15</f>
        <v>85</v>
      </c>
      <c r="D127" s="33">
        <f t="shared" si="19"/>
        <v>9.4800307219662064E-5</v>
      </c>
      <c r="E127" s="33">
        <f t="shared" si="16"/>
        <v>8.0580261136712749E-3</v>
      </c>
      <c r="F127">
        <f t="shared" si="17"/>
        <v>3.0266860145360212E-4</v>
      </c>
      <c r="G127">
        <f t="shared" si="18"/>
        <v>3.0266860145360213E-2</v>
      </c>
    </row>
    <row r="128" spans="1:7" x14ac:dyDescent="0.3">
      <c r="A128" t="s">
        <v>215</v>
      </c>
      <c r="B128" s="33">
        <v>0</v>
      </c>
      <c r="C128">
        <f>$C$19</f>
        <v>34.08</v>
      </c>
      <c r="D128" s="33">
        <f t="shared" si="19"/>
        <v>0</v>
      </c>
      <c r="E128" s="33">
        <f t="shared" si="16"/>
        <v>0</v>
      </c>
      <c r="F128">
        <f t="shared" si="17"/>
        <v>0</v>
      </c>
      <c r="G128">
        <f t="shared" si="18"/>
        <v>0</v>
      </c>
    </row>
    <row r="129" spans="1:7" x14ac:dyDescent="0.3">
      <c r="A129" t="s">
        <v>199</v>
      </c>
      <c r="B129" s="33">
        <v>12.305662826420891</v>
      </c>
      <c r="C129">
        <f>$C$20</f>
        <v>28.01</v>
      </c>
      <c r="D129" s="33">
        <f t="shared" si="19"/>
        <v>0.12305662826420891</v>
      </c>
      <c r="E129" s="33">
        <f t="shared" si="16"/>
        <v>3.4468161576804914</v>
      </c>
      <c r="F129">
        <f t="shared" si="17"/>
        <v>0.12946632477932321</v>
      </c>
      <c r="G129">
        <f t="shared" si="18"/>
        <v>12.946632477932321</v>
      </c>
    </row>
    <row r="130" spans="1:7" x14ac:dyDescent="0.3">
      <c r="A130" t="s">
        <v>200</v>
      </c>
      <c r="B130" s="33">
        <v>46.565411674347153</v>
      </c>
      <c r="C130">
        <f>$C$21</f>
        <v>44.01</v>
      </c>
      <c r="D130" s="33">
        <f t="shared" si="19"/>
        <v>0.46565411674347151</v>
      </c>
      <c r="E130" s="33">
        <f t="shared" si="16"/>
        <v>20.493437677880181</v>
      </c>
      <c r="F130">
        <f t="shared" si="17"/>
        <v>0.76975676591777153</v>
      </c>
      <c r="G130">
        <f t="shared" si="18"/>
        <v>76.975676591777159</v>
      </c>
    </row>
    <row r="131" spans="1:7" x14ac:dyDescent="0.3">
      <c r="A131" t="s">
        <v>202</v>
      </c>
      <c r="B131" s="33">
        <v>0</v>
      </c>
      <c r="C131">
        <f>$C$22</f>
        <v>28.013999999999999</v>
      </c>
      <c r="D131" s="33">
        <f t="shared" si="19"/>
        <v>0</v>
      </c>
      <c r="E131" s="33">
        <f t="shared" si="16"/>
        <v>0</v>
      </c>
      <c r="F131">
        <f t="shared" si="17"/>
        <v>0</v>
      </c>
      <c r="G131">
        <f t="shared" si="18"/>
        <v>0</v>
      </c>
    </row>
    <row r="132" spans="1:7" x14ac:dyDescent="0.3">
      <c r="A132" s="25" t="s">
        <v>97</v>
      </c>
      <c r="B132" s="37">
        <f>SUM(B116:B131)</f>
        <v>99.998999999999995</v>
      </c>
      <c r="C132" s="38"/>
      <c r="D132" s="37">
        <f>SUM(D116:D131)</f>
        <v>0.99998999999999993</v>
      </c>
      <c r="E132" s="37">
        <f>SUM(E116:E131)</f>
        <v>26.623264107910902</v>
      </c>
      <c r="F132">
        <f>E132/$E$88</f>
        <v>1.6543826132325432</v>
      </c>
      <c r="G132">
        <f>SUM(G116:G131)</f>
        <v>100</v>
      </c>
    </row>
    <row r="133" spans="1:7" x14ac:dyDescent="0.3">
      <c r="E133" t="s">
        <v>228</v>
      </c>
    </row>
    <row r="135" spans="1:7" ht="15.6" x14ac:dyDescent="0.3">
      <c r="A135" s="80" t="s">
        <v>236</v>
      </c>
      <c r="B135" s="79"/>
      <c r="C135" s="79"/>
      <c r="D135" s="79"/>
      <c r="E135" s="79"/>
      <c r="F135" s="79"/>
    </row>
    <row r="136" spans="1:7" x14ac:dyDescent="0.3">
      <c r="A136" s="78" t="s">
        <v>235</v>
      </c>
      <c r="B136" s="79"/>
      <c r="C136" s="79"/>
      <c r="D136" s="79"/>
      <c r="E136" s="79"/>
      <c r="F136" s="79"/>
    </row>
    <row r="137" spans="1:7" x14ac:dyDescent="0.3">
      <c r="A137" s="36" t="s">
        <v>28</v>
      </c>
      <c r="B137" s="36" t="s">
        <v>221</v>
      </c>
      <c r="C137" s="36" t="s">
        <v>29</v>
      </c>
      <c r="D137" s="36" t="s">
        <v>222</v>
      </c>
      <c r="E137" s="36" t="s">
        <v>223</v>
      </c>
      <c r="F137" s="36" t="s">
        <v>224</v>
      </c>
      <c r="G137" s="36" t="s">
        <v>225</v>
      </c>
    </row>
    <row r="138" spans="1:7" x14ac:dyDescent="0.3">
      <c r="A138" t="s">
        <v>183</v>
      </c>
      <c r="B138" s="33">
        <v>64.7913888103906</v>
      </c>
      <c r="C138">
        <f>$C$6</f>
        <v>2.016</v>
      </c>
      <c r="D138" s="33">
        <f>B138/100</f>
        <v>0.64791388810390604</v>
      </c>
      <c r="E138" s="33">
        <f>D138*C138</f>
        <v>1.3061943984174746</v>
      </c>
      <c r="F138">
        <f>E138/$E$154</f>
        <v>9.2869584151503232E-2</v>
      </c>
      <c r="G138">
        <f>F138*100</f>
        <v>9.2869584151503233</v>
      </c>
    </row>
    <row r="139" spans="1:7" x14ac:dyDescent="0.3">
      <c r="A139" t="s">
        <v>185</v>
      </c>
      <c r="B139" s="33">
        <v>7.9258547575934983</v>
      </c>
      <c r="C139">
        <f>$C$7</f>
        <v>16.042000000000002</v>
      </c>
      <c r="D139" s="33">
        <f>B139/100</f>
        <v>7.9258547575934979E-2</v>
      </c>
      <c r="E139" s="33">
        <f t="shared" ref="E139:E153" si="20">D139*C139</f>
        <v>1.2714656202131491</v>
      </c>
      <c r="F139">
        <f t="shared" ref="F139:F154" si="21">E139/$E$154</f>
        <v>9.0400390290441626E-2</v>
      </c>
      <c r="G139">
        <f t="shared" ref="G139:G153" si="22">F139*100</f>
        <v>9.0400390290441628</v>
      </c>
    </row>
    <row r="140" spans="1:7" x14ac:dyDescent="0.3">
      <c r="A140" t="s">
        <v>187</v>
      </c>
      <c r="B140" s="33">
        <v>11.613997521744807</v>
      </c>
      <c r="C140">
        <f>$C$8</f>
        <v>30.068999999999999</v>
      </c>
      <c r="D140" s="33">
        <f>B140/100</f>
        <v>0.11613997521744807</v>
      </c>
      <c r="E140" s="33">
        <f t="shared" si="20"/>
        <v>3.4922129148134458</v>
      </c>
      <c r="F140">
        <f t="shared" si="21"/>
        <v>0.24829409891832749</v>
      </c>
      <c r="G140">
        <f t="shared" si="22"/>
        <v>24.82940989183275</v>
      </c>
    </row>
    <row r="141" spans="1:7" x14ac:dyDescent="0.3">
      <c r="A141" t="s">
        <v>189</v>
      </c>
      <c r="B141" s="33">
        <v>0</v>
      </c>
      <c r="C141">
        <f>$C$9</f>
        <v>28.053000000000001</v>
      </c>
      <c r="D141" s="33">
        <f>B141/100</f>
        <v>0</v>
      </c>
      <c r="E141" s="33">
        <f t="shared" si="20"/>
        <v>0</v>
      </c>
      <c r="F141">
        <f t="shared" si="21"/>
        <v>0</v>
      </c>
      <c r="G141">
        <f t="shared" si="22"/>
        <v>0</v>
      </c>
    </row>
    <row r="142" spans="1:7" x14ac:dyDescent="0.3">
      <c r="A142" t="s">
        <v>191</v>
      </c>
      <c r="B142" s="33">
        <v>9.6492787907328221</v>
      </c>
      <c r="C142">
        <f>$C$10</f>
        <v>44.095999999999997</v>
      </c>
      <c r="D142" s="33">
        <f t="shared" ref="D142:D153" si="23">B142/100</f>
        <v>9.6492787907328223E-2</v>
      </c>
      <c r="E142" s="33">
        <f t="shared" si="20"/>
        <v>4.2549459755615446</v>
      </c>
      <c r="F142">
        <f t="shared" si="21"/>
        <v>0.30252393044730913</v>
      </c>
      <c r="G142">
        <f t="shared" si="22"/>
        <v>30.252393044730912</v>
      </c>
    </row>
    <row r="143" spans="1:7" x14ac:dyDescent="0.3">
      <c r="A143" t="s">
        <v>193</v>
      </c>
      <c r="B143" s="33">
        <v>0</v>
      </c>
      <c r="C143">
        <f>$C$11</f>
        <v>42.08</v>
      </c>
      <c r="D143" s="33">
        <f t="shared" si="23"/>
        <v>0</v>
      </c>
      <c r="E143" s="33">
        <f t="shared" si="20"/>
        <v>0</v>
      </c>
      <c r="F143">
        <f t="shared" si="21"/>
        <v>0</v>
      </c>
      <c r="G143">
        <f t="shared" si="22"/>
        <v>0</v>
      </c>
    </row>
    <row r="144" spans="1:7" x14ac:dyDescent="0.3">
      <c r="A144" t="s">
        <v>208</v>
      </c>
      <c r="B144" s="33">
        <v>1.9372695625652561</v>
      </c>
      <c r="C144">
        <f>$C$12</f>
        <v>58.122</v>
      </c>
      <c r="D144" s="33">
        <f t="shared" si="23"/>
        <v>1.937269562565256E-2</v>
      </c>
      <c r="E144" s="33">
        <f t="shared" si="20"/>
        <v>1.125979815154178</v>
      </c>
      <c r="F144">
        <f t="shared" si="21"/>
        <v>8.005644284116234E-2</v>
      </c>
      <c r="G144">
        <f t="shared" si="22"/>
        <v>8.0056442841162347</v>
      </c>
    </row>
    <row r="145" spans="1:7" x14ac:dyDescent="0.3">
      <c r="A145" t="s">
        <v>232</v>
      </c>
      <c r="B145" s="33">
        <v>3.1710708977568616</v>
      </c>
      <c r="C145">
        <f>$C$13</f>
        <v>58.122999999999998</v>
      </c>
      <c r="D145" s="33">
        <f t="shared" si="23"/>
        <v>3.1710708977568614E-2</v>
      </c>
      <c r="E145" s="33">
        <f t="shared" si="20"/>
        <v>1.8431215379032204</v>
      </c>
      <c r="F145">
        <f t="shared" si="21"/>
        <v>0.13104475947311736</v>
      </c>
      <c r="G145">
        <f t="shared" si="22"/>
        <v>13.104475947311736</v>
      </c>
    </row>
    <row r="146" spans="1:7" x14ac:dyDescent="0.3">
      <c r="A146" t="s">
        <v>210</v>
      </c>
      <c r="B146" s="33">
        <v>0</v>
      </c>
      <c r="C146">
        <f>$C$14</f>
        <v>56.106000000000002</v>
      </c>
      <c r="D146" s="33">
        <f t="shared" si="23"/>
        <v>0</v>
      </c>
      <c r="E146" s="33">
        <f t="shared" si="20"/>
        <v>0</v>
      </c>
      <c r="F146">
        <f t="shared" si="21"/>
        <v>0</v>
      </c>
      <c r="G146">
        <f t="shared" si="22"/>
        <v>0</v>
      </c>
    </row>
    <row r="147" spans="1:7" x14ac:dyDescent="0.3">
      <c r="A147" t="s">
        <v>226</v>
      </c>
      <c r="B147" s="33">
        <v>0</v>
      </c>
      <c r="C147">
        <f>$C$16</f>
        <v>72.149000000000001</v>
      </c>
      <c r="D147" s="33">
        <f t="shared" si="23"/>
        <v>0</v>
      </c>
      <c r="E147" s="33">
        <f t="shared" si="20"/>
        <v>0</v>
      </c>
      <c r="F147">
        <f t="shared" si="21"/>
        <v>0</v>
      </c>
      <c r="G147">
        <f t="shared" si="22"/>
        <v>0</v>
      </c>
    </row>
    <row r="148" spans="1:7" x14ac:dyDescent="0.3">
      <c r="A148" t="s">
        <v>227</v>
      </c>
      <c r="B148" s="33">
        <v>0</v>
      </c>
      <c r="C148">
        <f>$C$18</f>
        <v>86.16</v>
      </c>
      <c r="D148" s="33">
        <f t="shared" si="23"/>
        <v>0</v>
      </c>
      <c r="E148" s="33">
        <f t="shared" si="20"/>
        <v>0</v>
      </c>
      <c r="F148">
        <f t="shared" si="21"/>
        <v>0</v>
      </c>
      <c r="G148">
        <f t="shared" si="22"/>
        <v>0</v>
      </c>
    </row>
    <row r="149" spans="1:7" x14ac:dyDescent="0.3">
      <c r="A149" t="s">
        <v>74</v>
      </c>
      <c r="B149" s="33">
        <v>0.90694611082905197</v>
      </c>
      <c r="C149">
        <f>$C$15</f>
        <v>85</v>
      </c>
      <c r="D149" s="33">
        <f t="shared" si="23"/>
        <v>9.0694611082905198E-3</v>
      </c>
      <c r="E149" s="33">
        <f t="shared" si="20"/>
        <v>0.77090419420469414</v>
      </c>
      <c r="F149">
        <f t="shared" si="21"/>
        <v>5.4810793878138739E-2</v>
      </c>
      <c r="G149">
        <f t="shared" si="22"/>
        <v>5.4810793878138737</v>
      </c>
    </row>
    <row r="150" spans="1:7" x14ac:dyDescent="0.3">
      <c r="A150" t="s">
        <v>215</v>
      </c>
      <c r="B150" s="33">
        <v>0</v>
      </c>
      <c r="C150">
        <f>$C$19</f>
        <v>34.08</v>
      </c>
      <c r="D150" s="33">
        <f t="shared" si="23"/>
        <v>0</v>
      </c>
      <c r="E150" s="33">
        <f t="shared" si="20"/>
        <v>0</v>
      </c>
      <c r="F150">
        <f t="shared" si="21"/>
        <v>0</v>
      </c>
      <c r="G150">
        <f t="shared" si="22"/>
        <v>0</v>
      </c>
    </row>
    <row r="151" spans="1:7" x14ac:dyDescent="0.3">
      <c r="A151" t="s">
        <v>199</v>
      </c>
      <c r="B151" s="33">
        <v>0</v>
      </c>
      <c r="C151">
        <f>$C$20</f>
        <v>28.01</v>
      </c>
      <c r="D151" s="33">
        <f t="shared" si="23"/>
        <v>0</v>
      </c>
      <c r="E151" s="33">
        <f t="shared" si="20"/>
        <v>0</v>
      </c>
      <c r="F151">
        <f t="shared" si="21"/>
        <v>0</v>
      </c>
      <c r="G151">
        <f t="shared" si="22"/>
        <v>0</v>
      </c>
    </row>
    <row r="152" spans="1:7" x14ac:dyDescent="0.3">
      <c r="A152" t="s">
        <v>200</v>
      </c>
      <c r="B152" s="33">
        <v>0</v>
      </c>
      <c r="C152">
        <f>$C$21</f>
        <v>44.01</v>
      </c>
      <c r="D152" s="33">
        <f t="shared" si="23"/>
        <v>0</v>
      </c>
      <c r="E152" s="33">
        <f t="shared" si="20"/>
        <v>0</v>
      </c>
      <c r="F152">
        <f t="shared" si="21"/>
        <v>0</v>
      </c>
      <c r="G152">
        <f t="shared" si="22"/>
        <v>0</v>
      </c>
    </row>
    <row r="153" spans="1:7" x14ac:dyDescent="0.3">
      <c r="A153" t="s">
        <v>202</v>
      </c>
      <c r="B153" s="33">
        <v>0</v>
      </c>
      <c r="C153">
        <f>$C$22</f>
        <v>28.013999999999999</v>
      </c>
      <c r="D153" s="33">
        <f t="shared" si="23"/>
        <v>0</v>
      </c>
      <c r="E153" s="33">
        <f t="shared" si="20"/>
        <v>0</v>
      </c>
      <c r="F153">
        <f t="shared" si="21"/>
        <v>0</v>
      </c>
      <c r="G153">
        <f t="shared" si="22"/>
        <v>0</v>
      </c>
    </row>
    <row r="154" spans="1:7" x14ac:dyDescent="0.3">
      <c r="A154" s="25" t="s">
        <v>97</v>
      </c>
      <c r="B154" s="37">
        <f>SUM(B138:B153)</f>
        <v>99.995806451612907</v>
      </c>
      <c r="C154" s="38"/>
      <c r="D154" s="37">
        <f>SUM(D138:D153)</f>
        <v>0.99995806451612912</v>
      </c>
      <c r="E154" s="37">
        <f>SUM(E138:E153)</f>
        <v>14.064824456267708</v>
      </c>
      <c r="F154">
        <f t="shared" si="21"/>
        <v>1</v>
      </c>
      <c r="G154">
        <f>SUM(G138:G153)</f>
        <v>100</v>
      </c>
    </row>
    <row r="155" spans="1:7" x14ac:dyDescent="0.3">
      <c r="E155" t="s">
        <v>228</v>
      </c>
    </row>
    <row r="157" spans="1:7" ht="15.6" x14ac:dyDescent="0.3">
      <c r="A157" s="80" t="s">
        <v>237</v>
      </c>
      <c r="B157" s="79"/>
      <c r="C157" s="79"/>
      <c r="D157" s="79"/>
      <c r="E157" s="79"/>
      <c r="F157" s="79"/>
    </row>
    <row r="158" spans="1:7" x14ac:dyDescent="0.3">
      <c r="A158" s="78" t="s">
        <v>238</v>
      </c>
      <c r="B158" s="79"/>
      <c r="C158" s="79"/>
      <c r="D158" s="79"/>
      <c r="E158" s="79"/>
      <c r="F158" s="79"/>
    </row>
    <row r="159" spans="1:7" x14ac:dyDescent="0.3">
      <c r="A159" s="36" t="s">
        <v>28</v>
      </c>
      <c r="B159" s="36" t="s">
        <v>221</v>
      </c>
      <c r="C159" s="36" t="s">
        <v>29</v>
      </c>
      <c r="D159" s="36" t="s">
        <v>222</v>
      </c>
      <c r="E159" s="36" t="s">
        <v>223</v>
      </c>
      <c r="F159" s="36" t="s">
        <v>224</v>
      </c>
      <c r="G159" s="36" t="s">
        <v>225</v>
      </c>
    </row>
    <row r="160" spans="1:7" x14ac:dyDescent="0.3">
      <c r="A160" t="s">
        <v>183</v>
      </c>
      <c r="B160" s="33">
        <v>77.191000000000031</v>
      </c>
      <c r="C160">
        <f>$C$6</f>
        <v>2.016</v>
      </c>
      <c r="D160" s="33">
        <f>B160/100</f>
        <v>0.77191000000000032</v>
      </c>
      <c r="E160" s="33">
        <f>D160*C160</f>
        <v>1.5561705600000006</v>
      </c>
      <c r="F160">
        <f>E160/$E$176</f>
        <v>0.1499910425836925</v>
      </c>
      <c r="G160">
        <f>F160*100</f>
        <v>14.99910425836925</v>
      </c>
    </row>
    <row r="161" spans="1:7" x14ac:dyDescent="0.3">
      <c r="A161" t="s">
        <v>185</v>
      </c>
      <c r="B161" s="33">
        <v>4.1659999999999995</v>
      </c>
      <c r="C161">
        <f>$C$7</f>
        <v>16.042000000000002</v>
      </c>
      <c r="D161" s="33">
        <f>B161/100</f>
        <v>4.1659999999999996E-2</v>
      </c>
      <c r="E161" s="33">
        <f t="shared" ref="E161:E175" si="24">D161*C161</f>
        <v>0.66830972</v>
      </c>
      <c r="F161">
        <f t="shared" ref="F161:F176" si="25">E161/$E$176</f>
        <v>6.4414836167839842E-2</v>
      </c>
      <c r="G161">
        <f t="shared" ref="G161:G175" si="26">F161*100</f>
        <v>6.4414836167839846</v>
      </c>
    </row>
    <row r="162" spans="1:7" x14ac:dyDescent="0.3">
      <c r="A162" t="s">
        <v>187</v>
      </c>
      <c r="B162" s="33">
        <v>4.7240000000000002</v>
      </c>
      <c r="C162">
        <f>$C$8</f>
        <v>30.068999999999999</v>
      </c>
      <c r="D162" s="33">
        <f>B162/100</f>
        <v>4.7240000000000004E-2</v>
      </c>
      <c r="E162" s="33">
        <f t="shared" si="24"/>
        <v>1.4204595600000001</v>
      </c>
      <c r="F162">
        <f t="shared" si="25"/>
        <v>0.13691057768910178</v>
      </c>
      <c r="G162">
        <f t="shared" si="26"/>
        <v>13.691057768910179</v>
      </c>
    </row>
    <row r="163" spans="1:7" x14ac:dyDescent="0.3">
      <c r="A163" t="s">
        <v>189</v>
      </c>
      <c r="B163" s="33">
        <v>0</v>
      </c>
      <c r="C163">
        <f>$C$9</f>
        <v>28.053000000000001</v>
      </c>
      <c r="D163" s="33">
        <f>B163/100</f>
        <v>0</v>
      </c>
      <c r="E163" s="33">
        <f t="shared" si="24"/>
        <v>0</v>
      </c>
      <c r="F163">
        <f t="shared" si="25"/>
        <v>0</v>
      </c>
      <c r="G163">
        <f t="shared" si="26"/>
        <v>0</v>
      </c>
    </row>
    <row r="164" spans="1:7" x14ac:dyDescent="0.3">
      <c r="A164" t="s">
        <v>191</v>
      </c>
      <c r="B164" s="33">
        <v>9.9999999999999982</v>
      </c>
      <c r="C164">
        <f>$C$10</f>
        <v>44.095999999999997</v>
      </c>
      <c r="D164" s="33">
        <f t="shared" ref="D164:D175" si="27">B164/100</f>
        <v>9.9999999999999978E-2</v>
      </c>
      <c r="E164" s="33">
        <f t="shared" si="24"/>
        <v>4.4095999999999984</v>
      </c>
      <c r="F164">
        <f t="shared" si="25"/>
        <v>0.42501800148246599</v>
      </c>
      <c r="G164">
        <f t="shared" si="26"/>
        <v>42.501800148246602</v>
      </c>
    </row>
    <row r="165" spans="1:7" x14ac:dyDescent="0.3">
      <c r="A165" t="s">
        <v>193</v>
      </c>
      <c r="B165" s="33">
        <v>0</v>
      </c>
      <c r="C165">
        <f>$C$11</f>
        <v>42.08</v>
      </c>
      <c r="D165" s="33">
        <f t="shared" si="27"/>
        <v>0</v>
      </c>
      <c r="E165" s="33">
        <f t="shared" si="24"/>
        <v>0</v>
      </c>
      <c r="F165">
        <f t="shared" si="25"/>
        <v>0</v>
      </c>
      <c r="G165">
        <f t="shared" si="26"/>
        <v>0</v>
      </c>
    </row>
    <row r="166" spans="1:7" x14ac:dyDescent="0.3">
      <c r="A166" t="s">
        <v>208</v>
      </c>
      <c r="B166" s="33">
        <v>0.27899999999999986</v>
      </c>
      <c r="C166">
        <f>$C$12</f>
        <v>58.122</v>
      </c>
      <c r="D166" s="33">
        <f t="shared" si="27"/>
        <v>2.7899999999999986E-3</v>
      </c>
      <c r="E166" s="33">
        <f t="shared" si="24"/>
        <v>0.16216037999999991</v>
      </c>
      <c r="F166">
        <f t="shared" si="25"/>
        <v>1.5629780621198575E-2</v>
      </c>
      <c r="G166">
        <f t="shared" si="26"/>
        <v>1.5629780621198575</v>
      </c>
    </row>
    <row r="167" spans="1:7" x14ac:dyDescent="0.3">
      <c r="A167" t="s">
        <v>232</v>
      </c>
      <c r="B167" s="33">
        <v>3.2659999999999987</v>
      </c>
      <c r="C167">
        <f>$C$13</f>
        <v>58.122999999999998</v>
      </c>
      <c r="D167" s="33">
        <f t="shared" si="27"/>
        <v>3.2659999999999988E-2</v>
      </c>
      <c r="E167" s="33">
        <f t="shared" si="24"/>
        <v>1.8982971799999993</v>
      </c>
      <c r="F167">
        <f t="shared" si="25"/>
        <v>0.18296681641495852</v>
      </c>
      <c r="G167">
        <f t="shared" si="26"/>
        <v>18.296681641495852</v>
      </c>
    </row>
    <row r="168" spans="1:7" x14ac:dyDescent="0.3">
      <c r="A168" t="s">
        <v>210</v>
      </c>
      <c r="B168" s="33">
        <v>0</v>
      </c>
      <c r="C168">
        <f>$C$14</f>
        <v>56.106000000000002</v>
      </c>
      <c r="D168" s="33">
        <f t="shared" si="27"/>
        <v>0</v>
      </c>
      <c r="E168" s="33">
        <f t="shared" si="24"/>
        <v>0</v>
      </c>
      <c r="F168">
        <f t="shared" si="25"/>
        <v>0</v>
      </c>
      <c r="G168">
        <f t="shared" si="26"/>
        <v>0</v>
      </c>
    </row>
    <row r="169" spans="1:7" x14ac:dyDescent="0.3">
      <c r="A169" t="s">
        <v>226</v>
      </c>
      <c r="B169" s="33">
        <v>0.34400000000000003</v>
      </c>
      <c r="C169">
        <f>$C$16</f>
        <v>72.149000000000001</v>
      </c>
      <c r="D169" s="33">
        <f t="shared" si="27"/>
        <v>3.4400000000000003E-3</v>
      </c>
      <c r="E169" s="33">
        <f t="shared" si="24"/>
        <v>0.24819256000000003</v>
      </c>
      <c r="F169">
        <f t="shared" si="25"/>
        <v>2.3921967034201987E-2</v>
      </c>
      <c r="G169">
        <f t="shared" si="26"/>
        <v>2.3921967034201987</v>
      </c>
    </row>
    <row r="170" spans="1:7" x14ac:dyDescent="0.3">
      <c r="A170" t="s">
        <v>227</v>
      </c>
      <c r="B170" s="33">
        <v>0</v>
      </c>
      <c r="C170">
        <f>$C$18</f>
        <v>86.16</v>
      </c>
      <c r="D170" s="33">
        <f t="shared" si="27"/>
        <v>0</v>
      </c>
      <c r="E170" s="33">
        <f t="shared" si="24"/>
        <v>0</v>
      </c>
      <c r="F170">
        <f t="shared" si="25"/>
        <v>0</v>
      </c>
      <c r="G170">
        <f t="shared" si="26"/>
        <v>0</v>
      </c>
    </row>
    <row r="171" spans="1:7" x14ac:dyDescent="0.3">
      <c r="A171" t="s">
        <v>74</v>
      </c>
      <c r="B171" s="33">
        <v>1.3999999999999999E-2</v>
      </c>
      <c r="C171">
        <f>$C$15</f>
        <v>85</v>
      </c>
      <c r="D171" s="33">
        <f t="shared" si="27"/>
        <v>1.3999999999999999E-4</v>
      </c>
      <c r="E171" s="33">
        <f t="shared" si="24"/>
        <v>1.1899999999999999E-2</v>
      </c>
      <c r="F171">
        <f t="shared" si="25"/>
        <v>1.1469780065405813E-3</v>
      </c>
      <c r="G171">
        <f t="shared" si="26"/>
        <v>0.11469780065405813</v>
      </c>
    </row>
    <row r="172" spans="1:7" x14ac:dyDescent="0.3">
      <c r="A172" t="s">
        <v>215</v>
      </c>
      <c r="B172" s="33">
        <v>0</v>
      </c>
      <c r="C172">
        <f>$C$19</f>
        <v>34.08</v>
      </c>
      <c r="D172" s="33">
        <f t="shared" si="27"/>
        <v>0</v>
      </c>
      <c r="E172" s="33">
        <f t="shared" si="24"/>
        <v>0</v>
      </c>
      <c r="F172">
        <f t="shared" si="25"/>
        <v>0</v>
      </c>
      <c r="G172">
        <f t="shared" si="26"/>
        <v>0</v>
      </c>
    </row>
    <row r="173" spans="1:7" x14ac:dyDescent="0.3">
      <c r="A173" t="s">
        <v>199</v>
      </c>
      <c r="B173" s="33">
        <v>0</v>
      </c>
      <c r="C173">
        <f>$C$20</f>
        <v>28.01</v>
      </c>
      <c r="D173" s="33">
        <f t="shared" si="27"/>
        <v>0</v>
      </c>
      <c r="E173" s="33">
        <f t="shared" si="24"/>
        <v>0</v>
      </c>
      <c r="F173">
        <f t="shared" si="25"/>
        <v>0</v>
      </c>
      <c r="G173">
        <f t="shared" si="26"/>
        <v>0</v>
      </c>
    </row>
    <row r="174" spans="1:7" x14ac:dyDescent="0.3">
      <c r="A174" t="s">
        <v>200</v>
      </c>
      <c r="B174" s="33">
        <v>0</v>
      </c>
      <c r="C174">
        <f>$C$21</f>
        <v>44.01</v>
      </c>
      <c r="D174" s="33">
        <f t="shared" si="27"/>
        <v>0</v>
      </c>
      <c r="E174" s="33">
        <f t="shared" si="24"/>
        <v>0</v>
      </c>
      <c r="F174">
        <f t="shared" si="25"/>
        <v>0</v>
      </c>
      <c r="G174">
        <f t="shared" si="26"/>
        <v>0</v>
      </c>
    </row>
    <row r="175" spans="1:7" x14ac:dyDescent="0.3">
      <c r="A175" t="s">
        <v>202</v>
      </c>
      <c r="B175" s="33">
        <v>0</v>
      </c>
      <c r="C175">
        <f>$C$22</f>
        <v>28.013999999999999</v>
      </c>
      <c r="D175" s="33">
        <f t="shared" si="27"/>
        <v>0</v>
      </c>
      <c r="E175" s="33">
        <f t="shared" si="24"/>
        <v>0</v>
      </c>
      <c r="F175">
        <f t="shared" si="25"/>
        <v>0</v>
      </c>
      <c r="G175">
        <f t="shared" si="26"/>
        <v>0</v>
      </c>
    </row>
    <row r="176" spans="1:7" x14ac:dyDescent="0.3">
      <c r="A176" s="25" t="s">
        <v>97</v>
      </c>
      <c r="B176" s="37">
        <f>SUM(B160:B175)</f>
        <v>99.984000000000023</v>
      </c>
      <c r="C176" s="38"/>
      <c r="D176" s="37">
        <f>SUM(D160:D175)</f>
        <v>0.99984000000000028</v>
      </c>
      <c r="E176" s="37">
        <f>SUM(E160:E175)</f>
        <v>10.37508996</v>
      </c>
      <c r="F176">
        <f t="shared" si="25"/>
        <v>1</v>
      </c>
      <c r="G176">
        <f>SUM(G160:G175)</f>
        <v>99.999999999999972</v>
      </c>
    </row>
    <row r="177" spans="5:5" x14ac:dyDescent="0.3">
      <c r="E177" t="s">
        <v>228</v>
      </c>
    </row>
    <row r="218" spans="1:7" ht="15.6" x14ac:dyDescent="0.3">
      <c r="A218" s="80" t="s">
        <v>348</v>
      </c>
      <c r="B218" s="79"/>
      <c r="C218" s="79"/>
      <c r="D218" s="79"/>
      <c r="E218" s="79"/>
      <c r="F218" s="79"/>
    </row>
    <row r="219" spans="1:7" x14ac:dyDescent="0.3">
      <c r="A219" s="78" t="s">
        <v>235</v>
      </c>
      <c r="B219" s="79"/>
      <c r="C219" s="79"/>
      <c r="D219" s="79"/>
      <c r="E219" s="79"/>
      <c r="F219" s="79"/>
    </row>
    <row r="220" spans="1:7" x14ac:dyDescent="0.3">
      <c r="A220" s="36" t="s">
        <v>28</v>
      </c>
      <c r="B220" s="36" t="s">
        <v>221</v>
      </c>
      <c r="C220" s="36" t="s">
        <v>29</v>
      </c>
      <c r="D220" s="36" t="s">
        <v>222</v>
      </c>
      <c r="E220" s="36" t="s">
        <v>223</v>
      </c>
      <c r="F220" s="36" t="s">
        <v>224</v>
      </c>
      <c r="G220" s="36" t="s">
        <v>225</v>
      </c>
    </row>
    <row r="221" spans="1:7" x14ac:dyDescent="0.3">
      <c r="A221" t="s">
        <v>183</v>
      </c>
      <c r="B221" s="33">
        <v>0</v>
      </c>
      <c r="C221">
        <f>$C$6</f>
        <v>2.016</v>
      </c>
      <c r="D221" s="33">
        <f>B221/100</f>
        <v>0</v>
      </c>
      <c r="E221" s="33">
        <f>D221*C221</f>
        <v>0</v>
      </c>
      <c r="F221">
        <f>E221/$E$132</f>
        <v>0</v>
      </c>
      <c r="G221">
        <f>F221*100</f>
        <v>0</v>
      </c>
    </row>
    <row r="222" spans="1:7" x14ac:dyDescent="0.3">
      <c r="A222" t="s">
        <v>185</v>
      </c>
      <c r="B222" s="33">
        <v>0</v>
      </c>
      <c r="C222">
        <f>$C$7</f>
        <v>16.042000000000002</v>
      </c>
      <c r="D222" s="33">
        <f>B222/100</f>
        <v>0</v>
      </c>
      <c r="E222" s="33">
        <f t="shared" ref="E222:E236" si="28">D222*C222</f>
        <v>0</v>
      </c>
      <c r="F222">
        <f t="shared" ref="F222:F236" si="29">E222/$E$132</f>
        <v>0</v>
      </c>
      <c r="G222">
        <f t="shared" ref="G222:G236" si="30">F222*100</f>
        <v>0</v>
      </c>
    </row>
    <row r="223" spans="1:7" x14ac:dyDescent="0.3">
      <c r="A223" t="s">
        <v>187</v>
      </c>
      <c r="B223" s="33">
        <v>0</v>
      </c>
      <c r="C223">
        <f>$C$8</f>
        <v>30.068999999999999</v>
      </c>
      <c r="D223" s="33">
        <f>B223/100</f>
        <v>0</v>
      </c>
      <c r="E223" s="33">
        <f t="shared" si="28"/>
        <v>0</v>
      </c>
      <c r="F223">
        <f t="shared" si="29"/>
        <v>0</v>
      </c>
      <c r="G223">
        <f t="shared" si="30"/>
        <v>0</v>
      </c>
    </row>
    <row r="224" spans="1:7" x14ac:dyDescent="0.3">
      <c r="A224" t="s">
        <v>189</v>
      </c>
      <c r="B224" s="33">
        <v>0</v>
      </c>
      <c r="C224">
        <f>$C$9</f>
        <v>28.053000000000001</v>
      </c>
      <c r="D224" s="33">
        <f>B224/100</f>
        <v>0</v>
      </c>
      <c r="E224" s="33">
        <f t="shared" si="28"/>
        <v>0</v>
      </c>
      <c r="F224">
        <f t="shared" si="29"/>
        <v>0</v>
      </c>
      <c r="G224">
        <f t="shared" si="30"/>
        <v>0</v>
      </c>
    </row>
    <row r="225" spans="1:7" x14ac:dyDescent="0.3">
      <c r="A225" t="s">
        <v>191</v>
      </c>
      <c r="B225" s="33">
        <v>25</v>
      </c>
      <c r="C225">
        <f>$C$10</f>
        <v>44.095999999999997</v>
      </c>
      <c r="D225" s="33">
        <f t="shared" ref="D225:D236" si="31">B225/100</f>
        <v>0.25</v>
      </c>
      <c r="E225" s="33">
        <f t="shared" si="28"/>
        <v>11.023999999999999</v>
      </c>
      <c r="F225">
        <f t="shared" si="29"/>
        <v>0.41407394507739193</v>
      </c>
      <c r="G225">
        <f t="shared" si="30"/>
        <v>41.407394507739191</v>
      </c>
    </row>
    <row r="226" spans="1:7" x14ac:dyDescent="0.3">
      <c r="A226" t="s">
        <v>193</v>
      </c>
      <c r="B226" s="33">
        <v>25</v>
      </c>
      <c r="C226">
        <f>$C$11</f>
        <v>42.08</v>
      </c>
      <c r="D226" s="33">
        <f t="shared" si="31"/>
        <v>0.25</v>
      </c>
      <c r="E226" s="33">
        <f t="shared" si="28"/>
        <v>10.52</v>
      </c>
      <c r="F226">
        <f t="shared" si="29"/>
        <v>0.39514313336485518</v>
      </c>
      <c r="G226">
        <f t="shared" si="30"/>
        <v>39.514313336485515</v>
      </c>
    </row>
    <row r="227" spans="1:7" x14ac:dyDescent="0.3">
      <c r="A227" t="s">
        <v>208</v>
      </c>
      <c r="B227" s="33">
        <v>25</v>
      </c>
      <c r="C227">
        <f>$C$12</f>
        <v>58.122</v>
      </c>
      <c r="D227" s="33">
        <f t="shared" si="31"/>
        <v>0.25</v>
      </c>
      <c r="E227" s="33">
        <f t="shared" si="28"/>
        <v>14.5305</v>
      </c>
      <c r="F227">
        <f t="shared" si="29"/>
        <v>0.54578206267661866</v>
      </c>
      <c r="G227">
        <f t="shared" si="30"/>
        <v>54.578206267661869</v>
      </c>
    </row>
    <row r="228" spans="1:7" x14ac:dyDescent="0.3">
      <c r="A228" t="s">
        <v>232</v>
      </c>
      <c r="B228" s="33">
        <v>25</v>
      </c>
      <c r="C228">
        <f>$C$13</f>
        <v>58.122999999999998</v>
      </c>
      <c r="D228" s="33">
        <f t="shared" si="31"/>
        <v>0.25</v>
      </c>
      <c r="E228" s="33">
        <f t="shared" si="28"/>
        <v>14.530749999999999</v>
      </c>
      <c r="F228">
        <f t="shared" si="29"/>
        <v>0.54579145296020626</v>
      </c>
      <c r="G228">
        <f t="shared" si="30"/>
        <v>54.579145296020627</v>
      </c>
    </row>
    <row r="229" spans="1:7" x14ac:dyDescent="0.3">
      <c r="A229" t="s">
        <v>210</v>
      </c>
      <c r="B229" s="33">
        <v>0</v>
      </c>
      <c r="C229">
        <f>$C$14</f>
        <v>56.106000000000002</v>
      </c>
      <c r="D229" s="33">
        <f t="shared" si="31"/>
        <v>0</v>
      </c>
      <c r="E229" s="33">
        <f t="shared" si="28"/>
        <v>0</v>
      </c>
      <c r="F229">
        <f t="shared" si="29"/>
        <v>0</v>
      </c>
      <c r="G229">
        <f t="shared" si="30"/>
        <v>0</v>
      </c>
    </row>
    <row r="230" spans="1:7" x14ac:dyDescent="0.3">
      <c r="A230" t="s">
        <v>226</v>
      </c>
      <c r="B230" s="33">
        <v>0</v>
      </c>
      <c r="C230">
        <f>$C$16</f>
        <v>72.149000000000001</v>
      </c>
      <c r="D230" s="33">
        <f t="shared" si="31"/>
        <v>0</v>
      </c>
      <c r="E230" s="33">
        <f t="shared" si="28"/>
        <v>0</v>
      </c>
      <c r="F230">
        <f t="shared" si="29"/>
        <v>0</v>
      </c>
      <c r="G230">
        <f t="shared" si="30"/>
        <v>0</v>
      </c>
    </row>
    <row r="231" spans="1:7" x14ac:dyDescent="0.3">
      <c r="A231" t="s">
        <v>227</v>
      </c>
      <c r="B231" s="33">
        <v>0</v>
      </c>
      <c r="C231">
        <f>$C$18</f>
        <v>86.16</v>
      </c>
      <c r="D231" s="33">
        <f t="shared" si="31"/>
        <v>0</v>
      </c>
      <c r="E231" s="33">
        <f t="shared" si="28"/>
        <v>0</v>
      </c>
      <c r="F231">
        <f t="shared" si="29"/>
        <v>0</v>
      </c>
      <c r="G231">
        <f t="shared" si="30"/>
        <v>0</v>
      </c>
    </row>
    <row r="232" spans="1:7" x14ac:dyDescent="0.3">
      <c r="A232" t="s">
        <v>74</v>
      </c>
      <c r="B232" s="33">
        <v>0</v>
      </c>
      <c r="C232">
        <f>$C$15</f>
        <v>85</v>
      </c>
      <c r="D232" s="33">
        <f t="shared" si="31"/>
        <v>0</v>
      </c>
      <c r="E232" s="33">
        <f t="shared" si="28"/>
        <v>0</v>
      </c>
      <c r="F232">
        <f t="shared" si="29"/>
        <v>0</v>
      </c>
      <c r="G232">
        <f t="shared" si="30"/>
        <v>0</v>
      </c>
    </row>
    <row r="233" spans="1:7" x14ac:dyDescent="0.3">
      <c r="A233" t="s">
        <v>215</v>
      </c>
      <c r="B233" s="33">
        <v>0</v>
      </c>
      <c r="C233">
        <f>$C$19</f>
        <v>34.08</v>
      </c>
      <c r="D233" s="33">
        <f t="shared" si="31"/>
        <v>0</v>
      </c>
      <c r="E233" s="33">
        <f t="shared" si="28"/>
        <v>0</v>
      </c>
      <c r="F233">
        <f t="shared" si="29"/>
        <v>0</v>
      </c>
      <c r="G233">
        <f t="shared" si="30"/>
        <v>0</v>
      </c>
    </row>
    <row r="234" spans="1:7" x14ac:dyDescent="0.3">
      <c r="A234" t="s">
        <v>199</v>
      </c>
      <c r="B234" s="33">
        <v>0</v>
      </c>
      <c r="C234">
        <f>$C$20</f>
        <v>28.01</v>
      </c>
      <c r="D234" s="33">
        <f t="shared" si="31"/>
        <v>0</v>
      </c>
      <c r="E234" s="33">
        <f t="shared" si="28"/>
        <v>0</v>
      </c>
      <c r="F234">
        <f t="shared" si="29"/>
        <v>0</v>
      </c>
      <c r="G234">
        <f t="shared" si="30"/>
        <v>0</v>
      </c>
    </row>
    <row r="235" spans="1:7" x14ac:dyDescent="0.3">
      <c r="A235" t="s">
        <v>200</v>
      </c>
      <c r="B235" s="33">
        <v>0</v>
      </c>
      <c r="C235">
        <f>$C$21</f>
        <v>44.01</v>
      </c>
      <c r="D235" s="33">
        <f t="shared" si="31"/>
        <v>0</v>
      </c>
      <c r="E235" s="33">
        <f t="shared" si="28"/>
        <v>0</v>
      </c>
      <c r="F235">
        <f t="shared" si="29"/>
        <v>0</v>
      </c>
      <c r="G235">
        <f t="shared" si="30"/>
        <v>0</v>
      </c>
    </row>
    <row r="236" spans="1:7" x14ac:dyDescent="0.3">
      <c r="A236" t="s">
        <v>202</v>
      </c>
      <c r="B236" s="33">
        <v>0</v>
      </c>
      <c r="C236">
        <f>$C$22</f>
        <v>28.013999999999999</v>
      </c>
      <c r="D236" s="33">
        <f t="shared" si="31"/>
        <v>0</v>
      </c>
      <c r="E236" s="33">
        <f t="shared" si="28"/>
        <v>0</v>
      </c>
      <c r="F236">
        <f t="shared" si="29"/>
        <v>0</v>
      </c>
      <c r="G236">
        <f t="shared" si="30"/>
        <v>0</v>
      </c>
    </row>
    <row r="237" spans="1:7" x14ac:dyDescent="0.3">
      <c r="A237" s="25" t="s">
        <v>97</v>
      </c>
      <c r="B237" s="37">
        <f>SUM(B221:B236)</f>
        <v>100</v>
      </c>
      <c r="C237" s="38"/>
      <c r="D237" s="37">
        <f>SUM(D221:D236)</f>
        <v>1</v>
      </c>
      <c r="E237" s="37">
        <f>SUM(E221:E236)</f>
        <v>50.605249999999998</v>
      </c>
      <c r="F237">
        <f>E237/$E$88</f>
        <v>3.1446349102403732</v>
      </c>
      <c r="G237">
        <f>SUM(G221:G236)</f>
        <v>190.07905940790721</v>
      </c>
    </row>
    <row r="238" spans="1:7" x14ac:dyDescent="0.3">
      <c r="E238" t="s">
        <v>228</v>
      </c>
    </row>
    <row r="241" spans="1:7" ht="15.6" x14ac:dyDescent="0.3">
      <c r="A241" s="80" t="s">
        <v>352</v>
      </c>
      <c r="B241" s="79"/>
      <c r="C241" s="79"/>
      <c r="D241" s="79"/>
      <c r="E241" s="79"/>
      <c r="F241" s="79"/>
    </row>
    <row r="242" spans="1:7" x14ac:dyDescent="0.3">
      <c r="A242" s="78" t="s">
        <v>235</v>
      </c>
      <c r="B242" s="79"/>
      <c r="C242" s="79"/>
      <c r="D242" s="79"/>
      <c r="E242" s="79"/>
      <c r="F242" s="79"/>
    </row>
    <row r="243" spans="1:7" x14ac:dyDescent="0.3">
      <c r="A243" s="36" t="s">
        <v>28</v>
      </c>
      <c r="B243" s="36" t="s">
        <v>221</v>
      </c>
      <c r="C243" s="36" t="s">
        <v>29</v>
      </c>
      <c r="D243" s="36" t="s">
        <v>222</v>
      </c>
      <c r="E243" s="36" t="s">
        <v>223</v>
      </c>
      <c r="F243" s="36" t="s">
        <v>224</v>
      </c>
      <c r="G243" s="36" t="s">
        <v>225</v>
      </c>
    </row>
    <row r="244" spans="1:7" x14ac:dyDescent="0.3">
      <c r="A244" t="s">
        <v>183</v>
      </c>
      <c r="B244" s="33">
        <v>100</v>
      </c>
      <c r="C244">
        <f>$C$6</f>
        <v>2.016</v>
      </c>
      <c r="D244" s="33">
        <f>B244/100</f>
        <v>1</v>
      </c>
      <c r="E244" s="33">
        <f>D244*C244</f>
        <v>2.016</v>
      </c>
      <c r="F244">
        <f>E244/$E$132</f>
        <v>7.5723246850147155E-2</v>
      </c>
      <c r="G244">
        <f>F244*100</f>
        <v>7.5723246850147152</v>
      </c>
    </row>
    <row r="245" spans="1:7" x14ac:dyDescent="0.3">
      <c r="A245" t="s">
        <v>185</v>
      </c>
      <c r="B245" s="33">
        <v>0</v>
      </c>
      <c r="C245">
        <f>$C$7</f>
        <v>16.042000000000002</v>
      </c>
      <c r="D245" s="33">
        <f>B245/100</f>
        <v>0</v>
      </c>
      <c r="E245" s="33">
        <f t="shared" ref="E245:E259" si="32">D245*C245</f>
        <v>0</v>
      </c>
      <c r="F245">
        <f t="shared" ref="F245:F259" si="33">E245/$E$132</f>
        <v>0</v>
      </c>
      <c r="G245">
        <f t="shared" ref="G245:G259" si="34">F245*100</f>
        <v>0</v>
      </c>
    </row>
    <row r="246" spans="1:7" x14ac:dyDescent="0.3">
      <c r="A246" t="s">
        <v>187</v>
      </c>
      <c r="B246" s="33">
        <v>0</v>
      </c>
      <c r="C246">
        <f>$C$8</f>
        <v>30.068999999999999</v>
      </c>
      <c r="D246" s="33">
        <f>B246/100</f>
        <v>0</v>
      </c>
      <c r="E246" s="33">
        <f t="shared" si="32"/>
        <v>0</v>
      </c>
      <c r="F246">
        <f t="shared" si="33"/>
        <v>0</v>
      </c>
      <c r="G246">
        <f t="shared" si="34"/>
        <v>0</v>
      </c>
    </row>
    <row r="247" spans="1:7" x14ac:dyDescent="0.3">
      <c r="A247" t="s">
        <v>189</v>
      </c>
      <c r="B247" s="33">
        <v>0</v>
      </c>
      <c r="C247">
        <f>$C$9</f>
        <v>28.053000000000001</v>
      </c>
      <c r="D247" s="33">
        <f>B247/100</f>
        <v>0</v>
      </c>
      <c r="E247" s="33">
        <f t="shared" si="32"/>
        <v>0</v>
      </c>
      <c r="F247">
        <f t="shared" si="33"/>
        <v>0</v>
      </c>
      <c r="G247">
        <f t="shared" si="34"/>
        <v>0</v>
      </c>
    </row>
    <row r="248" spans="1:7" x14ac:dyDescent="0.3">
      <c r="A248" t="s">
        <v>191</v>
      </c>
      <c r="B248" s="33">
        <v>0</v>
      </c>
      <c r="C248">
        <f>$C$10</f>
        <v>44.095999999999997</v>
      </c>
      <c r="D248" s="33">
        <f t="shared" ref="D248:D259" si="35">B248/100</f>
        <v>0</v>
      </c>
      <c r="E248" s="33">
        <f t="shared" si="32"/>
        <v>0</v>
      </c>
      <c r="F248">
        <f t="shared" si="33"/>
        <v>0</v>
      </c>
      <c r="G248">
        <f t="shared" si="34"/>
        <v>0</v>
      </c>
    </row>
    <row r="249" spans="1:7" x14ac:dyDescent="0.3">
      <c r="A249" t="s">
        <v>193</v>
      </c>
      <c r="B249" s="33">
        <v>0</v>
      </c>
      <c r="C249">
        <f>$C$11</f>
        <v>42.08</v>
      </c>
      <c r="D249" s="33">
        <f t="shared" si="35"/>
        <v>0</v>
      </c>
      <c r="E249" s="33">
        <f t="shared" si="32"/>
        <v>0</v>
      </c>
      <c r="F249">
        <f t="shared" si="33"/>
        <v>0</v>
      </c>
      <c r="G249">
        <f t="shared" si="34"/>
        <v>0</v>
      </c>
    </row>
    <row r="250" spans="1:7" x14ac:dyDescent="0.3">
      <c r="A250" t="s">
        <v>208</v>
      </c>
      <c r="B250" s="33">
        <v>0</v>
      </c>
      <c r="C250">
        <f>$C$12</f>
        <v>58.122</v>
      </c>
      <c r="D250" s="33">
        <f t="shared" si="35"/>
        <v>0</v>
      </c>
      <c r="E250" s="33">
        <f t="shared" si="32"/>
        <v>0</v>
      </c>
      <c r="F250">
        <f t="shared" si="33"/>
        <v>0</v>
      </c>
      <c r="G250">
        <f t="shared" si="34"/>
        <v>0</v>
      </c>
    </row>
    <row r="251" spans="1:7" x14ac:dyDescent="0.3">
      <c r="A251" t="s">
        <v>232</v>
      </c>
      <c r="B251" s="33">
        <v>0</v>
      </c>
      <c r="C251">
        <f>$C$13</f>
        <v>58.122999999999998</v>
      </c>
      <c r="D251" s="33">
        <f t="shared" si="35"/>
        <v>0</v>
      </c>
      <c r="E251" s="33">
        <f t="shared" si="32"/>
        <v>0</v>
      </c>
      <c r="F251">
        <f t="shared" si="33"/>
        <v>0</v>
      </c>
      <c r="G251">
        <f t="shared" si="34"/>
        <v>0</v>
      </c>
    </row>
    <row r="252" spans="1:7" x14ac:dyDescent="0.3">
      <c r="A252" t="s">
        <v>210</v>
      </c>
      <c r="B252" s="33">
        <v>0</v>
      </c>
      <c r="C252">
        <f>$C$14</f>
        <v>56.106000000000002</v>
      </c>
      <c r="D252" s="33">
        <f t="shared" si="35"/>
        <v>0</v>
      </c>
      <c r="E252" s="33">
        <f t="shared" si="32"/>
        <v>0</v>
      </c>
      <c r="F252">
        <f t="shared" si="33"/>
        <v>0</v>
      </c>
      <c r="G252">
        <f t="shared" si="34"/>
        <v>0</v>
      </c>
    </row>
    <row r="253" spans="1:7" x14ac:dyDescent="0.3">
      <c r="A253" t="s">
        <v>226</v>
      </c>
      <c r="B253" s="33">
        <v>0</v>
      </c>
      <c r="C253">
        <f>$C$16</f>
        <v>72.149000000000001</v>
      </c>
      <c r="D253" s="33">
        <f t="shared" si="35"/>
        <v>0</v>
      </c>
      <c r="E253" s="33">
        <f t="shared" si="32"/>
        <v>0</v>
      </c>
      <c r="F253">
        <f t="shared" si="33"/>
        <v>0</v>
      </c>
      <c r="G253">
        <f t="shared" si="34"/>
        <v>0</v>
      </c>
    </row>
    <row r="254" spans="1:7" x14ac:dyDescent="0.3">
      <c r="A254" t="s">
        <v>227</v>
      </c>
      <c r="B254" s="33">
        <v>0</v>
      </c>
      <c r="C254">
        <f>$C$18</f>
        <v>86.16</v>
      </c>
      <c r="D254" s="33">
        <f t="shared" si="35"/>
        <v>0</v>
      </c>
      <c r="E254" s="33">
        <f t="shared" si="32"/>
        <v>0</v>
      </c>
      <c r="F254">
        <f t="shared" si="33"/>
        <v>0</v>
      </c>
      <c r="G254">
        <f t="shared" si="34"/>
        <v>0</v>
      </c>
    </row>
    <row r="255" spans="1:7" x14ac:dyDescent="0.3">
      <c r="A255" t="s">
        <v>74</v>
      </c>
      <c r="B255" s="33">
        <v>0</v>
      </c>
      <c r="C255">
        <f>$C$15</f>
        <v>85</v>
      </c>
      <c r="D255" s="33">
        <f t="shared" si="35"/>
        <v>0</v>
      </c>
      <c r="E255" s="33">
        <f t="shared" si="32"/>
        <v>0</v>
      </c>
      <c r="F255">
        <f t="shared" si="33"/>
        <v>0</v>
      </c>
      <c r="G255">
        <f t="shared" si="34"/>
        <v>0</v>
      </c>
    </row>
    <row r="256" spans="1:7" x14ac:dyDescent="0.3">
      <c r="A256" t="s">
        <v>215</v>
      </c>
      <c r="B256" s="33">
        <v>0</v>
      </c>
      <c r="C256">
        <f>$C$19</f>
        <v>34.08</v>
      </c>
      <c r="D256" s="33">
        <f t="shared" si="35"/>
        <v>0</v>
      </c>
      <c r="E256" s="33">
        <f t="shared" si="32"/>
        <v>0</v>
      </c>
      <c r="F256">
        <f t="shared" si="33"/>
        <v>0</v>
      </c>
      <c r="G256">
        <f t="shared" si="34"/>
        <v>0</v>
      </c>
    </row>
    <row r="257" spans="1:7" x14ac:dyDescent="0.3">
      <c r="A257" t="s">
        <v>199</v>
      </c>
      <c r="B257" s="33">
        <v>0</v>
      </c>
      <c r="C257">
        <f>$C$20</f>
        <v>28.01</v>
      </c>
      <c r="D257" s="33">
        <f t="shared" si="35"/>
        <v>0</v>
      </c>
      <c r="E257" s="33">
        <f t="shared" si="32"/>
        <v>0</v>
      </c>
      <c r="F257">
        <f t="shared" si="33"/>
        <v>0</v>
      </c>
      <c r="G257">
        <f t="shared" si="34"/>
        <v>0</v>
      </c>
    </row>
    <row r="258" spans="1:7" x14ac:dyDescent="0.3">
      <c r="A258" t="s">
        <v>200</v>
      </c>
      <c r="B258" s="33">
        <v>0</v>
      </c>
      <c r="C258">
        <f>$C$21</f>
        <v>44.01</v>
      </c>
      <c r="D258" s="33">
        <f t="shared" si="35"/>
        <v>0</v>
      </c>
      <c r="E258" s="33">
        <f t="shared" si="32"/>
        <v>0</v>
      </c>
      <c r="F258">
        <f t="shared" si="33"/>
        <v>0</v>
      </c>
      <c r="G258">
        <f t="shared" si="34"/>
        <v>0</v>
      </c>
    </row>
    <row r="259" spans="1:7" x14ac:dyDescent="0.3">
      <c r="A259" t="s">
        <v>202</v>
      </c>
      <c r="B259" s="33">
        <v>0</v>
      </c>
      <c r="C259">
        <f>$C$22</f>
        <v>28.013999999999999</v>
      </c>
      <c r="D259" s="33">
        <f t="shared" si="35"/>
        <v>0</v>
      </c>
      <c r="E259" s="33">
        <f t="shared" si="32"/>
        <v>0</v>
      </c>
      <c r="F259">
        <f t="shared" si="33"/>
        <v>0</v>
      </c>
      <c r="G259">
        <f t="shared" si="34"/>
        <v>0</v>
      </c>
    </row>
    <row r="260" spans="1:7" x14ac:dyDescent="0.3">
      <c r="A260" s="25" t="s">
        <v>97</v>
      </c>
      <c r="B260" s="37">
        <f>SUM(B244:B259)</f>
        <v>100</v>
      </c>
      <c r="C260" s="38"/>
      <c r="D260" s="37">
        <f>SUM(D244:D259)</f>
        <v>1</v>
      </c>
      <c r="E260" s="37">
        <f>SUM(E244:E259)</f>
        <v>2.016</v>
      </c>
      <c r="F260">
        <f>E260/$E$88</f>
        <v>0.1252752230063994</v>
      </c>
      <c r="G260">
        <f>SUM(G244:G259)</f>
        <v>7.5723246850147152</v>
      </c>
    </row>
    <row r="261" spans="1:7" x14ac:dyDescent="0.3">
      <c r="E261" t="s">
        <v>228</v>
      </c>
    </row>
    <row r="264" spans="1:7" ht="15.6" x14ac:dyDescent="0.3">
      <c r="A264" s="80" t="s">
        <v>356</v>
      </c>
      <c r="B264" s="79"/>
      <c r="C264" s="79"/>
      <c r="D264" s="79"/>
      <c r="E264" s="79"/>
      <c r="F264" s="79"/>
    </row>
    <row r="265" spans="1:7" x14ac:dyDescent="0.3">
      <c r="A265" s="78" t="s">
        <v>235</v>
      </c>
      <c r="B265" s="79"/>
      <c r="C265" s="79"/>
      <c r="D265" s="79"/>
      <c r="E265" s="79"/>
      <c r="F265" s="79"/>
    </row>
    <row r="266" spans="1:7" x14ac:dyDescent="0.3">
      <c r="A266" s="36" t="s">
        <v>28</v>
      </c>
      <c r="B266" s="36" t="s">
        <v>221</v>
      </c>
      <c r="C266" s="36" t="s">
        <v>29</v>
      </c>
      <c r="D266" s="36" t="s">
        <v>222</v>
      </c>
      <c r="E266" s="36" t="s">
        <v>223</v>
      </c>
      <c r="F266" s="36" t="s">
        <v>224</v>
      </c>
      <c r="G266" s="36" t="s">
        <v>225</v>
      </c>
    </row>
    <row r="267" spans="1:7" x14ac:dyDescent="0.3">
      <c r="A267" t="s">
        <v>183</v>
      </c>
      <c r="B267" s="33">
        <v>0</v>
      </c>
      <c r="C267">
        <f>$C$6</f>
        <v>2.016</v>
      </c>
      <c r="D267" s="33">
        <f>B267/100</f>
        <v>0</v>
      </c>
      <c r="E267" s="33">
        <f>D267*C267</f>
        <v>0</v>
      </c>
      <c r="F267">
        <f>E267/$E$132</f>
        <v>0</v>
      </c>
      <c r="G267">
        <f>F267*100</f>
        <v>0</v>
      </c>
    </row>
    <row r="268" spans="1:7" x14ac:dyDescent="0.3">
      <c r="A268" t="s">
        <v>185</v>
      </c>
      <c r="B268" s="33">
        <v>0</v>
      </c>
      <c r="C268">
        <f>$C$7</f>
        <v>16.042000000000002</v>
      </c>
      <c r="D268" s="33">
        <f>B268/100</f>
        <v>0</v>
      </c>
      <c r="E268" s="33">
        <f t="shared" ref="E268:E282" si="36">D268*C268</f>
        <v>0</v>
      </c>
      <c r="F268">
        <f t="shared" ref="F268:F282" si="37">E268/$E$132</f>
        <v>0</v>
      </c>
      <c r="G268">
        <f t="shared" ref="G268:G282" si="38">F268*100</f>
        <v>0</v>
      </c>
    </row>
    <row r="269" spans="1:7" x14ac:dyDescent="0.3">
      <c r="A269" t="s">
        <v>187</v>
      </c>
      <c r="B269" s="33">
        <v>0</v>
      </c>
      <c r="C269">
        <f>$C$8</f>
        <v>30.068999999999999</v>
      </c>
      <c r="D269" s="33">
        <f>B269/100</f>
        <v>0</v>
      </c>
      <c r="E269" s="33">
        <f t="shared" si="36"/>
        <v>0</v>
      </c>
      <c r="F269">
        <f t="shared" si="37"/>
        <v>0</v>
      </c>
      <c r="G269">
        <f t="shared" si="38"/>
        <v>0</v>
      </c>
    </row>
    <row r="270" spans="1:7" x14ac:dyDescent="0.3">
      <c r="A270" t="s">
        <v>189</v>
      </c>
      <c r="B270" s="33">
        <v>0</v>
      </c>
      <c r="C270">
        <f>$C$9</f>
        <v>28.053000000000001</v>
      </c>
      <c r="D270" s="33">
        <f>B270/100</f>
        <v>0</v>
      </c>
      <c r="E270" s="33">
        <f t="shared" si="36"/>
        <v>0</v>
      </c>
      <c r="F270">
        <f t="shared" si="37"/>
        <v>0</v>
      </c>
      <c r="G270">
        <f t="shared" si="38"/>
        <v>0</v>
      </c>
    </row>
    <row r="271" spans="1:7" x14ac:dyDescent="0.3">
      <c r="A271" t="s">
        <v>191</v>
      </c>
      <c r="B271" s="33">
        <v>0</v>
      </c>
      <c r="C271">
        <f>$C$10</f>
        <v>44.095999999999997</v>
      </c>
      <c r="D271" s="33">
        <f t="shared" ref="D271:D282" si="39">B271/100</f>
        <v>0</v>
      </c>
      <c r="E271" s="33">
        <f t="shared" si="36"/>
        <v>0</v>
      </c>
      <c r="F271">
        <f t="shared" si="37"/>
        <v>0</v>
      </c>
      <c r="G271">
        <f t="shared" si="38"/>
        <v>0</v>
      </c>
    </row>
    <row r="272" spans="1:7" x14ac:dyDescent="0.3">
      <c r="A272" t="s">
        <v>193</v>
      </c>
      <c r="B272" s="33">
        <v>0</v>
      </c>
      <c r="C272">
        <f>$C$11</f>
        <v>42.08</v>
      </c>
      <c r="D272" s="33">
        <f t="shared" si="39"/>
        <v>0</v>
      </c>
      <c r="E272" s="33">
        <f t="shared" si="36"/>
        <v>0</v>
      </c>
      <c r="F272">
        <f t="shared" si="37"/>
        <v>0</v>
      </c>
      <c r="G272">
        <f t="shared" si="38"/>
        <v>0</v>
      </c>
    </row>
    <row r="273" spans="1:7" x14ac:dyDescent="0.3">
      <c r="A273" t="s">
        <v>208</v>
      </c>
      <c r="B273" s="33">
        <v>0</v>
      </c>
      <c r="C273">
        <f>$C$12</f>
        <v>58.122</v>
      </c>
      <c r="D273" s="33">
        <f t="shared" si="39"/>
        <v>0</v>
      </c>
      <c r="E273" s="33">
        <f t="shared" si="36"/>
        <v>0</v>
      </c>
      <c r="F273">
        <f t="shared" si="37"/>
        <v>0</v>
      </c>
      <c r="G273">
        <f t="shared" si="38"/>
        <v>0</v>
      </c>
    </row>
    <row r="274" spans="1:7" x14ac:dyDescent="0.3">
      <c r="A274" t="s">
        <v>232</v>
      </c>
      <c r="B274" s="33">
        <v>0</v>
      </c>
      <c r="C274">
        <f>$C$13</f>
        <v>58.122999999999998</v>
      </c>
      <c r="D274" s="33">
        <f t="shared" si="39"/>
        <v>0</v>
      </c>
      <c r="E274" s="33">
        <f t="shared" si="36"/>
        <v>0</v>
      </c>
      <c r="F274">
        <f t="shared" si="37"/>
        <v>0</v>
      </c>
      <c r="G274">
        <f t="shared" si="38"/>
        <v>0</v>
      </c>
    </row>
    <row r="275" spans="1:7" x14ac:dyDescent="0.3">
      <c r="A275" t="s">
        <v>210</v>
      </c>
      <c r="B275" s="33">
        <v>0</v>
      </c>
      <c r="C275">
        <f>$C$14</f>
        <v>56.106000000000002</v>
      </c>
      <c r="D275" s="33">
        <f t="shared" si="39"/>
        <v>0</v>
      </c>
      <c r="E275" s="33">
        <f t="shared" si="36"/>
        <v>0</v>
      </c>
      <c r="F275">
        <f t="shared" si="37"/>
        <v>0</v>
      </c>
      <c r="G275">
        <f t="shared" si="38"/>
        <v>0</v>
      </c>
    </row>
    <row r="276" spans="1:7" x14ac:dyDescent="0.3">
      <c r="A276" t="s">
        <v>226</v>
      </c>
      <c r="B276" s="33">
        <v>33.332999999999998</v>
      </c>
      <c r="C276">
        <f>$C$16</f>
        <v>72.149000000000001</v>
      </c>
      <c r="D276" s="33">
        <f t="shared" si="39"/>
        <v>0.33332999999999996</v>
      </c>
      <c r="E276" s="33">
        <f t="shared" si="36"/>
        <v>24.049426169999997</v>
      </c>
      <c r="F276">
        <f t="shared" si="37"/>
        <v>0.90332372741830291</v>
      </c>
      <c r="G276">
        <f t="shared" si="38"/>
        <v>90.332372741830298</v>
      </c>
    </row>
    <row r="277" spans="1:7" x14ac:dyDescent="0.3">
      <c r="A277" t="s">
        <v>227</v>
      </c>
      <c r="B277" s="33">
        <v>33.333300000000001</v>
      </c>
      <c r="C277">
        <f>$C$18</f>
        <v>86.16</v>
      </c>
      <c r="D277" s="33">
        <f t="shared" si="39"/>
        <v>0.33333299999999999</v>
      </c>
      <c r="E277" s="33">
        <f t="shared" si="36"/>
        <v>28.719971279999999</v>
      </c>
      <c r="F277">
        <f t="shared" si="37"/>
        <v>1.0787546997840163</v>
      </c>
      <c r="G277">
        <f t="shared" si="38"/>
        <v>107.87546997840163</v>
      </c>
    </row>
    <row r="278" spans="1:7" x14ac:dyDescent="0.3">
      <c r="A278" t="s">
        <v>74</v>
      </c>
      <c r="B278" s="33">
        <v>33.333300000000001</v>
      </c>
      <c r="C278">
        <f>$C$15</f>
        <v>85</v>
      </c>
      <c r="D278" s="33">
        <f t="shared" si="39"/>
        <v>0.33333299999999999</v>
      </c>
      <c r="E278" s="33">
        <f t="shared" si="36"/>
        <v>28.333304999999999</v>
      </c>
      <c r="F278">
        <f t="shared" si="37"/>
        <v>1.0642310756922166</v>
      </c>
      <c r="G278">
        <f t="shared" si="38"/>
        <v>106.42310756922167</v>
      </c>
    </row>
    <row r="279" spans="1:7" x14ac:dyDescent="0.3">
      <c r="A279" t="s">
        <v>215</v>
      </c>
      <c r="B279" s="33">
        <v>0</v>
      </c>
      <c r="C279">
        <f>$C$19</f>
        <v>34.08</v>
      </c>
      <c r="D279" s="33">
        <f t="shared" si="39"/>
        <v>0</v>
      </c>
      <c r="E279" s="33">
        <f t="shared" si="36"/>
        <v>0</v>
      </c>
      <c r="F279">
        <f t="shared" si="37"/>
        <v>0</v>
      </c>
      <c r="G279">
        <f t="shared" si="38"/>
        <v>0</v>
      </c>
    </row>
    <row r="280" spans="1:7" x14ac:dyDescent="0.3">
      <c r="A280" t="s">
        <v>199</v>
      </c>
      <c r="B280" s="33">
        <v>0</v>
      </c>
      <c r="C280">
        <f>$C$20</f>
        <v>28.01</v>
      </c>
      <c r="D280" s="33">
        <f t="shared" si="39"/>
        <v>0</v>
      </c>
      <c r="E280" s="33">
        <f t="shared" si="36"/>
        <v>0</v>
      </c>
      <c r="F280">
        <f t="shared" si="37"/>
        <v>0</v>
      </c>
      <c r="G280">
        <f t="shared" si="38"/>
        <v>0</v>
      </c>
    </row>
    <row r="281" spans="1:7" x14ac:dyDescent="0.3">
      <c r="A281" t="s">
        <v>200</v>
      </c>
      <c r="B281" s="33">
        <v>0</v>
      </c>
      <c r="C281">
        <f>$C$21</f>
        <v>44.01</v>
      </c>
      <c r="D281" s="33">
        <f t="shared" si="39"/>
        <v>0</v>
      </c>
      <c r="E281" s="33">
        <f t="shared" si="36"/>
        <v>0</v>
      </c>
      <c r="F281">
        <f t="shared" si="37"/>
        <v>0</v>
      </c>
      <c r="G281">
        <f t="shared" si="38"/>
        <v>0</v>
      </c>
    </row>
    <row r="282" spans="1:7" x14ac:dyDescent="0.3">
      <c r="A282" t="s">
        <v>202</v>
      </c>
      <c r="B282" s="33">
        <v>0</v>
      </c>
      <c r="C282">
        <f>$C$22</f>
        <v>28.013999999999999</v>
      </c>
      <c r="D282" s="33">
        <f t="shared" si="39"/>
        <v>0</v>
      </c>
      <c r="E282" s="33">
        <f t="shared" si="36"/>
        <v>0</v>
      </c>
      <c r="F282">
        <f t="shared" si="37"/>
        <v>0</v>
      </c>
      <c r="G282">
        <f t="shared" si="38"/>
        <v>0</v>
      </c>
    </row>
    <row r="283" spans="1:7" x14ac:dyDescent="0.3">
      <c r="A283" s="25" t="s">
        <v>97</v>
      </c>
      <c r="B283" s="37">
        <f>SUM(B267:B282)</f>
        <v>99.999600000000015</v>
      </c>
      <c r="C283" s="38"/>
      <c r="D283" s="37">
        <f>SUM(D267:D282)</f>
        <v>0.999996</v>
      </c>
      <c r="E283" s="37">
        <f>SUM(E267:E282)</f>
        <v>81.102702449999995</v>
      </c>
      <c r="F283">
        <f>E283/$E$88</f>
        <v>5.0397614761137914</v>
      </c>
      <c r="G283">
        <f>SUM(G267:G282)</f>
        <v>304.63095028945361</v>
      </c>
    </row>
    <row r="284" spans="1:7" x14ac:dyDescent="0.3">
      <c r="E284" t="s">
        <v>228</v>
      </c>
    </row>
  </sheetData>
  <mergeCells count="26">
    <mergeCell ref="A157:F157"/>
    <mergeCell ref="A158:F158"/>
    <mergeCell ref="A91:F91"/>
    <mergeCell ref="A92:F92"/>
    <mergeCell ref="A113:F113"/>
    <mergeCell ref="A114:F114"/>
    <mergeCell ref="A135:F135"/>
    <mergeCell ref="A136:F136"/>
    <mergeCell ref="A70:F70"/>
    <mergeCell ref="A1:F1"/>
    <mergeCell ref="A2:F2"/>
    <mergeCell ref="A4:D4"/>
    <mergeCell ref="A25:F25"/>
    <mergeCell ref="A26:F26"/>
    <mergeCell ref="A27:F27"/>
    <mergeCell ref="A29:F29"/>
    <mergeCell ref="A30:F30"/>
    <mergeCell ref="A49:F49"/>
    <mergeCell ref="A50:F50"/>
    <mergeCell ref="A69:F69"/>
    <mergeCell ref="A265:F265"/>
    <mergeCell ref="A218:F218"/>
    <mergeCell ref="A219:F219"/>
    <mergeCell ref="A241:F241"/>
    <mergeCell ref="A242:F242"/>
    <mergeCell ref="A264:F2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AA18-F783-4261-BC53-EF2B57DFAE8D}">
  <dimension ref="A1:H398"/>
  <sheetViews>
    <sheetView topLeftCell="A324" zoomScale="55" zoomScaleNormal="55" workbookViewId="0">
      <selection activeCell="H396" sqref="H396"/>
    </sheetView>
  </sheetViews>
  <sheetFormatPr defaultRowHeight="14.4" x14ac:dyDescent="0.3"/>
  <cols>
    <col min="1" max="1" width="46.21875" customWidth="1"/>
    <col min="2" max="2" width="12" bestFit="1" customWidth="1"/>
    <col min="3" max="3" width="18.33203125" bestFit="1" customWidth="1"/>
    <col min="4" max="4" width="29.21875" bestFit="1" customWidth="1"/>
    <col min="5" max="5" width="12" bestFit="1" customWidth="1"/>
    <col min="6" max="6" width="15.109375" bestFit="1" customWidth="1"/>
    <col min="7" max="7" width="11.33203125" bestFit="1" customWidth="1"/>
    <col min="8" max="8" width="12.44140625" bestFit="1" customWidth="1"/>
  </cols>
  <sheetData>
    <row r="1" spans="1:4" ht="18" x14ac:dyDescent="0.35">
      <c r="A1" s="58" t="s">
        <v>284</v>
      </c>
    </row>
    <row r="2" spans="1:4" x14ac:dyDescent="0.3">
      <c r="A2" s="59" t="s">
        <v>285</v>
      </c>
    </row>
    <row r="4" spans="1:4" ht="15.6" x14ac:dyDescent="0.3">
      <c r="A4" s="60" t="s">
        <v>286</v>
      </c>
    </row>
    <row r="5" spans="1:4" x14ac:dyDescent="0.3">
      <c r="A5" s="61" t="s">
        <v>287</v>
      </c>
      <c r="B5" s="61" t="s">
        <v>288</v>
      </c>
      <c r="C5" s="61" t="s">
        <v>182</v>
      </c>
      <c r="D5" s="62" t="s">
        <v>204</v>
      </c>
    </row>
    <row r="6" spans="1:4" x14ac:dyDescent="0.3">
      <c r="A6" t="s">
        <v>289</v>
      </c>
      <c r="B6">
        <v>2.8320000000000001E-2</v>
      </c>
      <c r="C6" t="s">
        <v>290</v>
      </c>
      <c r="D6" t="s">
        <v>291</v>
      </c>
    </row>
    <row r="7" spans="1:4" x14ac:dyDescent="0.3">
      <c r="A7" t="s">
        <v>292</v>
      </c>
      <c r="B7">
        <v>0.252</v>
      </c>
      <c r="C7" t="s">
        <v>293</v>
      </c>
      <c r="D7" t="s">
        <v>294</v>
      </c>
    </row>
    <row r="8" spans="1:4" x14ac:dyDescent="0.3">
      <c r="A8" t="s">
        <v>295</v>
      </c>
      <c r="B8">
        <v>1.0549999999999999</v>
      </c>
      <c r="C8" t="s">
        <v>296</v>
      </c>
      <c r="D8" t="s">
        <v>294</v>
      </c>
    </row>
    <row r="9" spans="1:4" x14ac:dyDescent="0.3">
      <c r="A9" t="s">
        <v>297</v>
      </c>
      <c r="B9">
        <v>1.0549999999999999E-3</v>
      </c>
      <c r="C9" t="s">
        <v>298</v>
      </c>
      <c r="D9" t="s">
        <v>294</v>
      </c>
    </row>
    <row r="10" spans="1:4" x14ac:dyDescent="0.3">
      <c r="A10" t="s">
        <v>299</v>
      </c>
      <c r="B10">
        <v>0.4536</v>
      </c>
      <c r="C10" t="s">
        <v>300</v>
      </c>
      <c r="D10" t="s">
        <v>301</v>
      </c>
    </row>
    <row r="11" spans="1:4" x14ac:dyDescent="0.3">
      <c r="A11" t="s">
        <v>302</v>
      </c>
      <c r="B11" s="38">
        <v>35.314700000000002</v>
      </c>
      <c r="C11">
        <f xml:space="preserve"> 1/0.02832</f>
        <v>35.310734463276837</v>
      </c>
      <c r="D11" t="s">
        <v>303</v>
      </c>
    </row>
    <row r="12" spans="1:4" x14ac:dyDescent="0.3">
      <c r="A12" t="s">
        <v>304</v>
      </c>
      <c r="B12" s="38">
        <v>8.8993000000000002</v>
      </c>
      <c r="C12">
        <f xml:space="preserve"> 0.252 * 35.3147</f>
        <v>8.8993044000000001</v>
      </c>
      <c r="D12" t="s">
        <v>305</v>
      </c>
    </row>
    <row r="13" spans="1:4" x14ac:dyDescent="0.3">
      <c r="A13" t="s">
        <v>306</v>
      </c>
      <c r="B13" s="38">
        <v>3.7269999999999998E-2</v>
      </c>
      <c r="C13">
        <f xml:space="preserve"> 0.001055 * 35.3147</f>
        <v>3.7257008500000001E-2</v>
      </c>
      <c r="D13" t="s">
        <v>305</v>
      </c>
    </row>
    <row r="14" spans="1:4" x14ac:dyDescent="0.3">
      <c r="A14" t="s">
        <v>307</v>
      </c>
      <c r="B14" s="38">
        <v>0.55559999999999998</v>
      </c>
      <c r="C14">
        <f xml:space="preserve"> 0.252 / 0.4536</f>
        <v>0.55555555555555558</v>
      </c>
      <c r="D14" t="s">
        <v>308</v>
      </c>
    </row>
    <row r="15" spans="1:4" x14ac:dyDescent="0.3">
      <c r="A15" t="s">
        <v>309</v>
      </c>
      <c r="B15" s="38">
        <v>2.3259999999999999E-3</v>
      </c>
      <c r="C15">
        <f xml:space="preserve"> 0.001055 / 0.4536</f>
        <v>2.325837742504409E-3</v>
      </c>
      <c r="D15" t="s">
        <v>308</v>
      </c>
    </row>
    <row r="17" spans="1:6" ht="15.6" x14ac:dyDescent="0.3">
      <c r="A17" s="60" t="s">
        <v>310</v>
      </c>
    </row>
    <row r="18" spans="1:6" x14ac:dyDescent="0.3">
      <c r="A18" s="61" t="s">
        <v>28</v>
      </c>
      <c r="B18" s="61" t="s">
        <v>182</v>
      </c>
      <c r="C18" s="61" t="s">
        <v>29</v>
      </c>
      <c r="D18" s="61" t="s">
        <v>265</v>
      </c>
      <c r="E18" s="61" t="s">
        <v>311</v>
      </c>
      <c r="F18" s="62" t="s">
        <v>204</v>
      </c>
    </row>
    <row r="19" spans="1:6" x14ac:dyDescent="0.3">
      <c r="A19" t="s">
        <v>183</v>
      </c>
      <c r="B19" t="s">
        <v>184</v>
      </c>
      <c r="C19">
        <v>2.016</v>
      </c>
      <c r="D19">
        <v>275</v>
      </c>
      <c r="E19">
        <v>51623</v>
      </c>
      <c r="F19" t="s">
        <v>312</v>
      </c>
    </row>
    <row r="20" spans="1:6" x14ac:dyDescent="0.3">
      <c r="A20" t="s">
        <v>185</v>
      </c>
      <c r="B20" t="s">
        <v>186</v>
      </c>
      <c r="C20">
        <v>16.042000000000002</v>
      </c>
      <c r="D20">
        <v>911</v>
      </c>
      <c r="E20">
        <v>21502</v>
      </c>
      <c r="F20" t="s">
        <v>312</v>
      </c>
    </row>
    <row r="21" spans="1:6" x14ac:dyDescent="0.3">
      <c r="A21" t="s">
        <v>187</v>
      </c>
      <c r="B21" t="s">
        <v>188</v>
      </c>
      <c r="C21">
        <v>30.068999999999999</v>
      </c>
      <c r="D21">
        <v>1622</v>
      </c>
      <c r="E21">
        <v>20416</v>
      </c>
      <c r="F21" t="s">
        <v>312</v>
      </c>
    </row>
    <row r="22" spans="1:6" x14ac:dyDescent="0.3">
      <c r="A22" t="s">
        <v>189</v>
      </c>
      <c r="B22" t="s">
        <v>190</v>
      </c>
      <c r="C22">
        <v>28.053000000000001</v>
      </c>
      <c r="D22">
        <v>1513</v>
      </c>
      <c r="E22">
        <v>20409</v>
      </c>
      <c r="F22" t="s">
        <v>312</v>
      </c>
    </row>
    <row r="23" spans="1:6" x14ac:dyDescent="0.3">
      <c r="A23" t="s">
        <v>191</v>
      </c>
      <c r="B23" t="s">
        <v>192</v>
      </c>
      <c r="C23">
        <v>44.095999999999997</v>
      </c>
      <c r="D23">
        <v>2316</v>
      </c>
      <c r="E23">
        <v>19879</v>
      </c>
      <c r="F23" t="s">
        <v>312</v>
      </c>
    </row>
    <row r="24" spans="1:6" x14ac:dyDescent="0.3">
      <c r="A24" t="s">
        <v>193</v>
      </c>
      <c r="B24" t="s">
        <v>194</v>
      </c>
      <c r="C24">
        <v>42.08</v>
      </c>
      <c r="D24">
        <v>2185</v>
      </c>
      <c r="E24">
        <v>19646</v>
      </c>
      <c r="F24" t="s">
        <v>312</v>
      </c>
    </row>
    <row r="25" spans="1:6" x14ac:dyDescent="0.3">
      <c r="A25" t="s">
        <v>196</v>
      </c>
      <c r="B25" t="s">
        <v>197</v>
      </c>
      <c r="C25">
        <v>58.122</v>
      </c>
      <c r="D25">
        <v>3012</v>
      </c>
      <c r="E25">
        <v>19614</v>
      </c>
      <c r="F25" t="s">
        <v>312</v>
      </c>
    </row>
    <row r="26" spans="1:6" x14ac:dyDescent="0.3">
      <c r="A26" t="s">
        <v>209</v>
      </c>
      <c r="B26" t="s">
        <v>195</v>
      </c>
      <c r="C26">
        <v>58.122999999999998</v>
      </c>
      <c r="D26">
        <v>2999</v>
      </c>
      <c r="E26">
        <v>19519</v>
      </c>
      <c r="F26" t="s">
        <v>312</v>
      </c>
    </row>
    <row r="27" spans="1:6" x14ac:dyDescent="0.3">
      <c r="A27" t="s">
        <v>210</v>
      </c>
      <c r="B27" t="s">
        <v>266</v>
      </c>
      <c r="C27">
        <v>56.106000000000002</v>
      </c>
      <c r="D27">
        <v>2885</v>
      </c>
      <c r="E27">
        <v>19466</v>
      </c>
      <c r="F27" t="s">
        <v>312</v>
      </c>
    </row>
    <row r="28" spans="1:6" x14ac:dyDescent="0.3">
      <c r="A28" t="s">
        <v>267</v>
      </c>
      <c r="B28" t="s">
        <v>268</v>
      </c>
      <c r="C28">
        <v>72.149000000000001</v>
      </c>
      <c r="D28">
        <v>3707</v>
      </c>
      <c r="E28">
        <v>19448</v>
      </c>
      <c r="F28" t="s">
        <v>312</v>
      </c>
    </row>
    <row r="29" spans="1:6" x14ac:dyDescent="0.3">
      <c r="A29" t="s">
        <v>269</v>
      </c>
      <c r="B29" t="s">
        <v>270</v>
      </c>
      <c r="C29">
        <v>72.150000000000006</v>
      </c>
      <c r="D29">
        <v>3698</v>
      </c>
      <c r="E29">
        <v>19395</v>
      </c>
      <c r="F29" t="s">
        <v>312</v>
      </c>
    </row>
    <row r="30" spans="1:6" x14ac:dyDescent="0.3">
      <c r="A30" t="s">
        <v>271</v>
      </c>
      <c r="B30" t="s">
        <v>272</v>
      </c>
      <c r="C30">
        <v>86.16</v>
      </c>
      <c r="D30">
        <v>4404</v>
      </c>
      <c r="E30">
        <v>19346</v>
      </c>
      <c r="F30" t="s">
        <v>312</v>
      </c>
    </row>
    <row r="31" spans="1:6" x14ac:dyDescent="0.3">
      <c r="A31" t="s">
        <v>273</v>
      </c>
      <c r="B31" t="s">
        <v>274</v>
      </c>
      <c r="C31">
        <v>85</v>
      </c>
      <c r="D31">
        <v>3700</v>
      </c>
      <c r="E31">
        <v>19400</v>
      </c>
      <c r="F31" t="s">
        <v>313</v>
      </c>
    </row>
    <row r="32" spans="1:6" x14ac:dyDescent="0.3">
      <c r="A32" t="s">
        <v>215</v>
      </c>
      <c r="B32" t="s">
        <v>275</v>
      </c>
      <c r="C32">
        <v>34.08</v>
      </c>
      <c r="D32">
        <v>596</v>
      </c>
      <c r="E32">
        <v>6617</v>
      </c>
      <c r="F32" t="s">
        <v>312</v>
      </c>
    </row>
    <row r="33" spans="1:6" x14ac:dyDescent="0.3">
      <c r="A33" t="s">
        <v>199</v>
      </c>
      <c r="B33" t="s">
        <v>75</v>
      </c>
      <c r="C33">
        <v>28.01</v>
      </c>
      <c r="D33">
        <v>322</v>
      </c>
      <c r="E33">
        <v>4347</v>
      </c>
      <c r="F33" t="s">
        <v>312</v>
      </c>
    </row>
    <row r="34" spans="1:6" x14ac:dyDescent="0.3">
      <c r="A34" t="s">
        <v>200</v>
      </c>
      <c r="B34" t="s">
        <v>201</v>
      </c>
      <c r="C34">
        <v>44.01</v>
      </c>
      <c r="D34">
        <v>0</v>
      </c>
      <c r="E34">
        <v>0</v>
      </c>
      <c r="F34" t="s">
        <v>276</v>
      </c>
    </row>
    <row r="35" spans="1:6" x14ac:dyDescent="0.3">
      <c r="A35" t="s">
        <v>202</v>
      </c>
      <c r="B35" t="s">
        <v>203</v>
      </c>
      <c r="C35">
        <v>28.013999999999999</v>
      </c>
      <c r="D35">
        <v>0</v>
      </c>
      <c r="E35">
        <v>0</v>
      </c>
      <c r="F35" t="s">
        <v>276</v>
      </c>
    </row>
    <row r="37" spans="1:6" ht="15.6" x14ac:dyDescent="0.3">
      <c r="A37" s="60" t="s">
        <v>277</v>
      </c>
    </row>
    <row r="38" spans="1:6" x14ac:dyDescent="0.3">
      <c r="A38" s="63" t="s">
        <v>278</v>
      </c>
    </row>
    <row r="39" spans="1:6" x14ac:dyDescent="0.3">
      <c r="A39" s="63" t="s">
        <v>283</v>
      </c>
    </row>
    <row r="40" spans="1:6" x14ac:dyDescent="0.3">
      <c r="A40" s="63" t="s">
        <v>314</v>
      </c>
    </row>
    <row r="42" spans="1:6" ht="15.6" x14ac:dyDescent="0.3">
      <c r="A42" s="85" t="s">
        <v>279</v>
      </c>
      <c r="B42" s="85"/>
      <c r="C42" s="85"/>
      <c r="D42" s="85"/>
      <c r="E42" s="85"/>
    </row>
    <row r="43" spans="1:6" x14ac:dyDescent="0.3">
      <c r="A43" s="64" t="s">
        <v>280</v>
      </c>
    </row>
    <row r="44" spans="1:6" x14ac:dyDescent="0.3">
      <c r="A44" s="61" t="s">
        <v>28</v>
      </c>
      <c r="B44" s="61" t="s">
        <v>221</v>
      </c>
      <c r="C44" s="61" t="s">
        <v>281</v>
      </c>
      <c r="D44" s="61" t="s">
        <v>265</v>
      </c>
      <c r="E44" s="62" t="s">
        <v>282</v>
      </c>
    </row>
    <row r="45" spans="1:6" x14ac:dyDescent="0.3">
      <c r="A45" t="s">
        <v>183</v>
      </c>
      <c r="B45">
        <f>'mol% to wt% Conversions'!B32</f>
        <v>66.823331273431393</v>
      </c>
      <c r="C45">
        <f t="shared" ref="C45:C58" si="0">B45/100</f>
        <v>0.66823331273431397</v>
      </c>
      <c r="D45">
        <f>$D$19</f>
        <v>275</v>
      </c>
      <c r="E45">
        <f t="shared" ref="E45:E58" si="1">C45*D45</f>
        <v>183.76416100193634</v>
      </c>
    </row>
    <row r="46" spans="1:6" x14ac:dyDescent="0.3">
      <c r="A46" t="s">
        <v>185</v>
      </c>
      <c r="B46">
        <f>'mol% to wt% Conversions'!B33</f>
        <v>18.035802125818812</v>
      </c>
      <c r="C46">
        <f t="shared" si="0"/>
        <v>0.18035802125818812</v>
      </c>
      <c r="D46">
        <f>$D$20</f>
        <v>911</v>
      </c>
      <c r="E46">
        <f t="shared" si="1"/>
        <v>164.30615736620936</v>
      </c>
    </row>
    <row r="47" spans="1:6" x14ac:dyDescent="0.3">
      <c r="A47" t="s">
        <v>187</v>
      </c>
      <c r="B47">
        <f>'mol% to wt% Conversions'!B34</f>
        <v>3.9262561282082973</v>
      </c>
      <c r="C47">
        <f t="shared" si="0"/>
        <v>3.9262561282082969E-2</v>
      </c>
      <c r="D47">
        <f>$D$21</f>
        <v>1622</v>
      </c>
      <c r="E47">
        <f t="shared" si="1"/>
        <v>63.683874399538574</v>
      </c>
    </row>
    <row r="48" spans="1:6" x14ac:dyDescent="0.3">
      <c r="A48" t="s">
        <v>189</v>
      </c>
      <c r="B48">
        <f>'mol% to wt% Conversions'!B35</f>
        <v>0.1277777777777778</v>
      </c>
      <c r="C48">
        <f t="shared" si="0"/>
        <v>1.2777777777777779E-3</v>
      </c>
      <c r="D48">
        <f>$D$22</f>
        <v>1513</v>
      </c>
      <c r="E48">
        <f t="shared" si="1"/>
        <v>1.9332777777777779</v>
      </c>
    </row>
    <row r="49" spans="1:5" x14ac:dyDescent="0.3">
      <c r="A49" t="s">
        <v>191</v>
      </c>
      <c r="B49">
        <f>'mol% to wt% Conversions'!B36</f>
        <v>3.1095404358752523</v>
      </c>
      <c r="C49">
        <f t="shared" si="0"/>
        <v>3.1095404358752524E-2</v>
      </c>
      <c r="D49">
        <f>$D$23</f>
        <v>2316</v>
      </c>
      <c r="E49">
        <f t="shared" si="1"/>
        <v>72.01695649487084</v>
      </c>
    </row>
    <row r="50" spans="1:5" x14ac:dyDescent="0.3">
      <c r="A50" t="s">
        <v>193</v>
      </c>
      <c r="B50">
        <f>'mol% to wt% Conversions'!B37</f>
        <v>0.22731020613373554</v>
      </c>
      <c r="C50">
        <f t="shared" si="0"/>
        <v>2.2731020613373553E-3</v>
      </c>
      <c r="D50">
        <f>$D$24</f>
        <v>2185</v>
      </c>
      <c r="E50">
        <f t="shared" si="1"/>
        <v>4.9667280040221211</v>
      </c>
    </row>
    <row r="51" spans="1:5" x14ac:dyDescent="0.3">
      <c r="A51" t="s">
        <v>196</v>
      </c>
      <c r="B51">
        <f>'mol% to wt% Conversions'!B38</f>
        <v>1.7354239278210357</v>
      </c>
      <c r="C51">
        <f t="shared" si="0"/>
        <v>1.7354239278210358E-2</v>
      </c>
      <c r="D51">
        <f>$D$25</f>
        <v>3012</v>
      </c>
      <c r="E51">
        <f t="shared" si="1"/>
        <v>52.270968705969601</v>
      </c>
    </row>
    <row r="52" spans="1:5" x14ac:dyDescent="0.3">
      <c r="A52" t="s">
        <v>210</v>
      </c>
      <c r="B52">
        <f>'mol% to wt% Conversions'!B39</f>
        <v>1.5587750278086765</v>
      </c>
      <c r="C52">
        <f t="shared" si="0"/>
        <v>1.5587750278086765E-2</v>
      </c>
      <c r="D52">
        <f>$D$27</f>
        <v>2885</v>
      </c>
      <c r="E52">
        <f t="shared" si="1"/>
        <v>44.970659552280317</v>
      </c>
    </row>
    <row r="53" spans="1:5" x14ac:dyDescent="0.3">
      <c r="A53" t="s">
        <v>267</v>
      </c>
      <c r="B53">
        <f>'mol% to wt% Conversions'!B40</f>
        <v>0.58131229486809766</v>
      </c>
      <c r="C53">
        <f t="shared" si="0"/>
        <v>5.8131229486809762E-3</v>
      </c>
      <c r="D53">
        <f>$D$28</f>
        <v>3707</v>
      </c>
      <c r="E53">
        <f t="shared" si="1"/>
        <v>21.54924677076038</v>
      </c>
    </row>
    <row r="54" spans="1:5" x14ac:dyDescent="0.3">
      <c r="A54" t="s">
        <v>271</v>
      </c>
      <c r="B54">
        <f>'mol% to wt% Conversions'!B41</f>
        <v>0.49837803320561946</v>
      </c>
      <c r="C54">
        <f t="shared" si="0"/>
        <v>4.9837803320561943E-3</v>
      </c>
      <c r="D54">
        <f>$D$30</f>
        <v>4404</v>
      </c>
      <c r="E54">
        <f t="shared" si="1"/>
        <v>21.948568582375479</v>
      </c>
    </row>
    <row r="55" spans="1:5" x14ac:dyDescent="0.3">
      <c r="A55" t="s">
        <v>215</v>
      </c>
      <c r="B55">
        <f>'mol% to wt% Conversions'!B42</f>
        <v>4.3499576719576713E-4</v>
      </c>
      <c r="C55">
        <f t="shared" si="0"/>
        <v>4.3499576719576708E-6</v>
      </c>
      <c r="D55">
        <f>$D$32</f>
        <v>596</v>
      </c>
      <c r="E55">
        <f t="shared" si="1"/>
        <v>2.5925747724867719E-3</v>
      </c>
    </row>
    <row r="56" spans="1:5" x14ac:dyDescent="0.3">
      <c r="A56" t="s">
        <v>199</v>
      </c>
      <c r="B56">
        <f>'mol% to wt% Conversions'!B43</f>
        <v>0.88356481481481497</v>
      </c>
      <c r="C56">
        <f t="shared" si="0"/>
        <v>8.8356481481481498E-3</v>
      </c>
      <c r="D56">
        <f>$D$33</f>
        <v>322</v>
      </c>
      <c r="E56">
        <f t="shared" si="1"/>
        <v>2.8450787037037042</v>
      </c>
    </row>
    <row r="57" spans="1:5" x14ac:dyDescent="0.3">
      <c r="A57" t="s">
        <v>200</v>
      </c>
      <c r="B57">
        <f>'mol% to wt% Conversions'!B44</f>
        <v>1.1412997304068051</v>
      </c>
      <c r="C57">
        <f t="shared" si="0"/>
        <v>1.1412997304068051E-2</v>
      </c>
      <c r="D57">
        <f>$D$34</f>
        <v>0</v>
      </c>
      <c r="E57">
        <f t="shared" si="1"/>
        <v>0</v>
      </c>
    </row>
    <row r="58" spans="1:5" x14ac:dyDescent="0.3">
      <c r="A58" t="s">
        <v>202</v>
      </c>
      <c r="B58">
        <f>'mol% to wt% Conversions'!B45</f>
        <v>2.187512874387179</v>
      </c>
      <c r="C58">
        <f t="shared" si="0"/>
        <v>2.1875128743871791E-2</v>
      </c>
      <c r="D58">
        <f>$D$35</f>
        <v>0</v>
      </c>
      <c r="E58">
        <f t="shared" si="1"/>
        <v>0</v>
      </c>
    </row>
    <row r="59" spans="1:5" x14ac:dyDescent="0.3">
      <c r="A59" s="41" t="s">
        <v>97</v>
      </c>
      <c r="B59" s="38">
        <f>SUM(B45:B58)</f>
        <v>100.83671964632468</v>
      </c>
      <c r="C59" s="38">
        <f>SUM(C45:C58)</f>
        <v>1.008367196463247</v>
      </c>
      <c r="E59" s="65">
        <f>SUM(E45:E58)</f>
        <v>634.25826993421708</v>
      </c>
    </row>
    <row r="61" spans="1:5" x14ac:dyDescent="0.3">
      <c r="A61" s="66" t="s">
        <v>315</v>
      </c>
      <c r="C61" s="67" t="s">
        <v>316</v>
      </c>
      <c r="E61" s="67" t="s">
        <v>4</v>
      </c>
    </row>
    <row r="62" spans="1:5" x14ac:dyDescent="0.3">
      <c r="A62" s="41" t="s">
        <v>265</v>
      </c>
      <c r="E62" s="68">
        <f>E59</f>
        <v>634.25826993421708</v>
      </c>
    </row>
    <row r="63" spans="1:5" x14ac:dyDescent="0.3">
      <c r="A63" s="41" t="s">
        <v>317</v>
      </c>
      <c r="E63" s="68">
        <f>E62*$B$11</f>
        <v>22398.640525245897</v>
      </c>
    </row>
    <row r="64" spans="1:5" x14ac:dyDescent="0.3">
      <c r="A64" s="41" t="s">
        <v>318</v>
      </c>
      <c r="E64" s="68">
        <f>E62*$B$12</f>
        <v>5644.4546216255785</v>
      </c>
    </row>
    <row r="65" spans="1:5" x14ac:dyDescent="0.3">
      <c r="A65" s="41" t="s">
        <v>319</v>
      </c>
      <c r="E65" s="68">
        <f>E62*$B$13</f>
        <v>23.638805720448268</v>
      </c>
    </row>
    <row r="66" spans="1:5" x14ac:dyDescent="0.3">
      <c r="A66" s="67" t="s">
        <v>322</v>
      </c>
    </row>
    <row r="67" spans="1:5" x14ac:dyDescent="0.3">
      <c r="A67" s="41" t="s">
        <v>320</v>
      </c>
      <c r="E67" s="68">
        <f>'mol% to wt% Conversions'!E46</f>
        <v>11.018501828666581</v>
      </c>
    </row>
    <row r="68" spans="1:5" x14ac:dyDescent="0.3">
      <c r="A68" s="41" t="s">
        <v>311</v>
      </c>
      <c r="E68" s="68">
        <f>E62*379.5/E67</f>
        <v>21845.167081953838</v>
      </c>
    </row>
    <row r="69" spans="1:5" x14ac:dyDescent="0.3">
      <c r="A69" s="41" t="s">
        <v>321</v>
      </c>
      <c r="E69" s="68">
        <f>E68*$B$14</f>
        <v>12137.174830733551</v>
      </c>
    </row>
    <row r="70" spans="1:5" x14ac:dyDescent="0.3">
      <c r="A70" s="41" t="s">
        <v>55</v>
      </c>
      <c r="E70" s="68">
        <f>E68*$B$15</f>
        <v>50.811858632624627</v>
      </c>
    </row>
    <row r="73" spans="1:5" ht="15.6" x14ac:dyDescent="0.3">
      <c r="A73" s="85" t="s">
        <v>323</v>
      </c>
      <c r="B73" s="85"/>
      <c r="C73" s="85"/>
      <c r="D73" s="85"/>
      <c r="E73" s="85"/>
    </row>
    <row r="74" spans="1:5" x14ac:dyDescent="0.3">
      <c r="A74" s="64" t="s">
        <v>324</v>
      </c>
    </row>
    <row r="75" spans="1:5" x14ac:dyDescent="0.3">
      <c r="A75" s="61" t="s">
        <v>28</v>
      </c>
      <c r="B75" s="61" t="s">
        <v>221</v>
      </c>
      <c r="C75" s="61" t="s">
        <v>281</v>
      </c>
      <c r="D75" s="61" t="s">
        <v>265</v>
      </c>
      <c r="E75" s="62" t="s">
        <v>282</v>
      </c>
    </row>
    <row r="76" spans="1:5" x14ac:dyDescent="0.3">
      <c r="A76" t="s">
        <v>183</v>
      </c>
      <c r="B76">
        <f>'mol% to wt% Conversions'!B52</f>
        <v>71.370226589214354</v>
      </c>
      <c r="C76">
        <f t="shared" ref="C76:C89" si="2">B76/100</f>
        <v>0.71370226589214358</v>
      </c>
      <c r="D76">
        <f>$D$19</f>
        <v>275</v>
      </c>
      <c r="E76">
        <f t="shared" ref="E76:E89" si="3">C76*D76</f>
        <v>196.26812312033948</v>
      </c>
    </row>
    <row r="77" spans="1:5" x14ac:dyDescent="0.3">
      <c r="A77" t="s">
        <v>185</v>
      </c>
      <c r="B77">
        <f>'mol% to wt% Conversions'!B53</f>
        <v>14.501792683620639</v>
      </c>
      <c r="C77">
        <f t="shared" si="2"/>
        <v>0.1450179268362064</v>
      </c>
      <c r="D77">
        <f>$D$20</f>
        <v>911</v>
      </c>
      <c r="E77">
        <f t="shared" si="3"/>
        <v>132.11133134778404</v>
      </c>
    </row>
    <row r="78" spans="1:5" x14ac:dyDescent="0.3">
      <c r="A78" t="s">
        <v>187</v>
      </c>
      <c r="B78">
        <f>'mol% to wt% Conversions'!B54</f>
        <v>2.6644391818854185</v>
      </c>
      <c r="C78">
        <f t="shared" si="2"/>
        <v>2.6644391818854186E-2</v>
      </c>
      <c r="D78">
        <f>$D$21</f>
        <v>1622</v>
      </c>
      <c r="E78">
        <f t="shared" si="3"/>
        <v>43.217203530181486</v>
      </c>
    </row>
    <row r="79" spans="1:5" x14ac:dyDescent="0.3">
      <c r="A79" t="s">
        <v>189</v>
      </c>
      <c r="B79">
        <f>'mol% to wt% Conversions'!B55</f>
        <v>0.13090038314176247</v>
      </c>
      <c r="C79">
        <f t="shared" si="2"/>
        <v>1.3090038314176246E-3</v>
      </c>
      <c r="D79">
        <f>$D$22</f>
        <v>1513</v>
      </c>
      <c r="E79">
        <f t="shared" si="3"/>
        <v>1.980522796934866</v>
      </c>
    </row>
    <row r="80" spans="1:5" x14ac:dyDescent="0.3">
      <c r="A80" t="s">
        <v>191</v>
      </c>
      <c r="B80">
        <f>'mol% to wt% Conversions'!B56</f>
        <v>2.827565426409512</v>
      </c>
      <c r="C80">
        <f t="shared" si="2"/>
        <v>2.8275654264095122E-2</v>
      </c>
      <c r="D80">
        <f>$D$23</f>
        <v>2316</v>
      </c>
      <c r="E80">
        <f t="shared" si="3"/>
        <v>65.486415275644305</v>
      </c>
    </row>
    <row r="81" spans="1:5" x14ac:dyDescent="0.3">
      <c r="A81" t="s">
        <v>193</v>
      </c>
      <c r="B81">
        <f>'mol% to wt% Conversions'!B57</f>
        <v>0.24227147929963186</v>
      </c>
      <c r="C81">
        <f t="shared" si="2"/>
        <v>2.4227147929963186E-3</v>
      </c>
      <c r="D81">
        <f>$D$24</f>
        <v>2185</v>
      </c>
      <c r="E81">
        <f t="shared" si="3"/>
        <v>5.2936318226969563</v>
      </c>
    </row>
    <row r="82" spans="1:5" x14ac:dyDescent="0.3">
      <c r="A82" t="s">
        <v>196</v>
      </c>
      <c r="B82">
        <f>'mol% to wt% Conversions'!B58</f>
        <v>1.9038713944359107</v>
      </c>
      <c r="C82">
        <f t="shared" si="2"/>
        <v>1.9038713944359107E-2</v>
      </c>
      <c r="D82">
        <f>$D$25</f>
        <v>3012</v>
      </c>
      <c r="E82">
        <f t="shared" si="3"/>
        <v>57.344606400409631</v>
      </c>
    </row>
    <row r="83" spans="1:5" x14ac:dyDescent="0.3">
      <c r="A83" t="s">
        <v>210</v>
      </c>
      <c r="B83">
        <f>'mol% to wt% Conversions'!B59</f>
        <v>1.5101983558058827</v>
      </c>
      <c r="C83">
        <f t="shared" si="2"/>
        <v>1.5101983558058828E-2</v>
      </c>
      <c r="D83">
        <f>$D$27</f>
        <v>2885</v>
      </c>
      <c r="E83">
        <f t="shared" si="3"/>
        <v>43.56922256499972</v>
      </c>
    </row>
    <row r="84" spans="1:5" x14ac:dyDescent="0.3">
      <c r="A84" t="s">
        <v>267</v>
      </c>
      <c r="B84">
        <f>'mol% to wt% Conversions'!B60</f>
        <v>0.4793337009466041</v>
      </c>
      <c r="C84">
        <f t="shared" si="2"/>
        <v>4.7933370094660407E-3</v>
      </c>
      <c r="D84">
        <f>$D$28</f>
        <v>3707</v>
      </c>
      <c r="E84">
        <f t="shared" si="3"/>
        <v>17.768900294090614</v>
      </c>
    </row>
    <row r="85" spans="1:5" x14ac:dyDescent="0.3">
      <c r="A85" t="s">
        <v>271</v>
      </c>
      <c r="B85">
        <f>'mol% to wt% Conversions'!B61</f>
        <v>0.45241508789895885</v>
      </c>
      <c r="C85">
        <f t="shared" si="2"/>
        <v>4.5241508789895888E-3</v>
      </c>
      <c r="D85">
        <f>$D$30</f>
        <v>4404</v>
      </c>
      <c r="E85">
        <f t="shared" si="3"/>
        <v>19.924360471070148</v>
      </c>
    </row>
    <row r="86" spans="1:5" x14ac:dyDescent="0.3">
      <c r="A86" t="s">
        <v>215</v>
      </c>
      <c r="B86">
        <f>'mol% to wt% Conversions'!B62</f>
        <v>3.9914506172839497E-4</v>
      </c>
      <c r="C86">
        <f t="shared" si="2"/>
        <v>3.9914506172839497E-6</v>
      </c>
      <c r="D86">
        <f>$D$32</f>
        <v>596</v>
      </c>
      <c r="E86">
        <f t="shared" si="3"/>
        <v>2.3789045679012341E-3</v>
      </c>
    </row>
    <row r="87" spans="1:5" x14ac:dyDescent="0.3">
      <c r="A87" t="s">
        <v>199</v>
      </c>
      <c r="B87">
        <f>'mol% to wt% Conversions'!B63</f>
        <v>0.27871141975308644</v>
      </c>
      <c r="C87">
        <f t="shared" si="2"/>
        <v>2.7871141975308643E-3</v>
      </c>
      <c r="D87">
        <f>$D$33</f>
        <v>322</v>
      </c>
      <c r="E87">
        <f t="shared" si="3"/>
        <v>0.89745077160493836</v>
      </c>
    </row>
    <row r="88" spans="1:5" x14ac:dyDescent="0.3">
      <c r="A88" t="s">
        <v>200</v>
      </c>
      <c r="B88">
        <f>'mol% to wt% Conversions'!B64</f>
        <v>1.488436122440572</v>
      </c>
      <c r="C88">
        <f t="shared" si="2"/>
        <v>1.488436122440572E-2</v>
      </c>
      <c r="D88">
        <f>$D$34</f>
        <v>0</v>
      </c>
      <c r="E88">
        <f t="shared" si="3"/>
        <v>0</v>
      </c>
    </row>
    <row r="89" spans="1:5" x14ac:dyDescent="0.3">
      <c r="A89" t="s">
        <v>202</v>
      </c>
      <c r="B89">
        <f>'mol% to wt% Conversions'!B65</f>
        <v>2.4394461610294025</v>
      </c>
      <c r="C89">
        <f t="shared" si="2"/>
        <v>2.4394461610294026E-2</v>
      </c>
      <c r="D89">
        <f>$D$35</f>
        <v>0</v>
      </c>
      <c r="E89">
        <f t="shared" si="3"/>
        <v>0</v>
      </c>
    </row>
    <row r="90" spans="1:5" x14ac:dyDescent="0.3">
      <c r="A90" s="41" t="s">
        <v>97</v>
      </c>
      <c r="B90" s="38">
        <f>SUM(B76:B89)</f>
        <v>100.29000713094345</v>
      </c>
      <c r="C90" s="38">
        <f>SUM(C76:C89)</f>
        <v>1.0029000713094347</v>
      </c>
      <c r="E90" s="65">
        <f>SUM(E76:E89)</f>
        <v>583.86414730032402</v>
      </c>
    </row>
    <row r="92" spans="1:5" x14ac:dyDescent="0.3">
      <c r="A92" s="66" t="s">
        <v>315</v>
      </c>
      <c r="C92" s="67" t="s">
        <v>316</v>
      </c>
      <c r="E92" s="67" t="s">
        <v>4</v>
      </c>
    </row>
    <row r="93" spans="1:5" x14ac:dyDescent="0.3">
      <c r="A93" s="41" t="s">
        <v>265</v>
      </c>
      <c r="E93" s="68">
        <f>E90</f>
        <v>583.86414730032402</v>
      </c>
    </row>
    <row r="94" spans="1:5" x14ac:dyDescent="0.3">
      <c r="A94" s="41" t="s">
        <v>317</v>
      </c>
      <c r="E94" s="68">
        <f>E93*$B$11</f>
        <v>20618.987202666754</v>
      </c>
    </row>
    <row r="95" spans="1:5" x14ac:dyDescent="0.3">
      <c r="A95" s="41" t="s">
        <v>318</v>
      </c>
      <c r="E95" s="68">
        <f>E93*$B$12</f>
        <v>5195.9822060697734</v>
      </c>
    </row>
    <row r="96" spans="1:5" x14ac:dyDescent="0.3">
      <c r="A96" s="41" t="s">
        <v>319</v>
      </c>
      <c r="E96" s="68">
        <f>E93*$B$13</f>
        <v>21.760616769883075</v>
      </c>
    </row>
    <row r="97" spans="1:5" x14ac:dyDescent="0.3">
      <c r="A97" s="67" t="s">
        <v>322</v>
      </c>
    </row>
    <row r="98" spans="1:5" x14ac:dyDescent="0.3">
      <c r="A98" s="41" t="s">
        <v>320</v>
      </c>
      <c r="E98" s="68">
        <f>'mol% to wt% Conversions'!E66</f>
        <v>10.058049756706641</v>
      </c>
    </row>
    <row r="99" spans="1:5" x14ac:dyDescent="0.3">
      <c r="A99" s="41" t="s">
        <v>311</v>
      </c>
      <c r="E99" s="68">
        <f>E93*379.5/E98</f>
        <v>22029.762156697154</v>
      </c>
    </row>
    <row r="100" spans="1:5" x14ac:dyDescent="0.3">
      <c r="A100" s="41" t="s">
        <v>321</v>
      </c>
      <c r="E100" s="68">
        <f>E99*$B$14</f>
        <v>12239.735854260938</v>
      </c>
    </row>
    <row r="101" spans="1:5" x14ac:dyDescent="0.3">
      <c r="A101" s="41" t="s">
        <v>55</v>
      </c>
      <c r="E101" s="68">
        <f>E99*$B$15</f>
        <v>51.241226776477582</v>
      </c>
    </row>
    <row r="104" spans="1:5" ht="15.6" x14ac:dyDescent="0.3">
      <c r="A104" s="85" t="s">
        <v>230</v>
      </c>
      <c r="B104" s="85"/>
      <c r="C104" s="85"/>
      <c r="D104" s="85"/>
      <c r="E104" s="85"/>
    </row>
    <row r="105" spans="1:5" x14ac:dyDescent="0.3">
      <c r="A105" s="64" t="s">
        <v>326</v>
      </c>
    </row>
    <row r="106" spans="1:5" x14ac:dyDescent="0.3">
      <c r="A106" s="61" t="s">
        <v>28</v>
      </c>
      <c r="B106" s="61" t="s">
        <v>221</v>
      </c>
      <c r="C106" s="61" t="s">
        <v>281</v>
      </c>
      <c r="D106" s="61" t="s">
        <v>265</v>
      </c>
      <c r="E106" s="62" t="s">
        <v>282</v>
      </c>
    </row>
    <row r="107" spans="1:5" x14ac:dyDescent="0.3">
      <c r="A107" t="s">
        <v>183</v>
      </c>
      <c r="B107">
        <f>'mol% to wt% Conversions'!B72</f>
        <v>33.098653894554388</v>
      </c>
      <c r="C107">
        <f t="shared" ref="C107:C122" si="4">B107/100</f>
        <v>0.33098653894554386</v>
      </c>
      <c r="D107">
        <f>$D$19</f>
        <v>275</v>
      </c>
      <c r="E107">
        <f t="shared" ref="E107:E112" si="5">C107*D107</f>
        <v>91.021298210024568</v>
      </c>
    </row>
    <row r="108" spans="1:5" x14ac:dyDescent="0.3">
      <c r="A108" t="s">
        <v>185</v>
      </c>
      <c r="B108">
        <f>'mol% to wt% Conversions'!B73</f>
        <v>50.222846945580315</v>
      </c>
      <c r="C108">
        <f t="shared" si="4"/>
        <v>0.50222846945580313</v>
      </c>
      <c r="D108">
        <f>$D$20</f>
        <v>911</v>
      </c>
      <c r="E108">
        <f t="shared" si="5"/>
        <v>457.53013567423665</v>
      </c>
    </row>
    <row r="109" spans="1:5" x14ac:dyDescent="0.3">
      <c r="A109" t="s">
        <v>187</v>
      </c>
      <c r="B109">
        <f>'mol% to wt% Conversions'!B74</f>
        <v>6.085476793536575</v>
      </c>
      <c r="C109">
        <f t="shared" si="4"/>
        <v>6.0854767935365747E-2</v>
      </c>
      <c r="D109">
        <f>$D$21</f>
        <v>1622</v>
      </c>
      <c r="E109">
        <f t="shared" si="5"/>
        <v>98.706433591163247</v>
      </c>
    </row>
    <row r="110" spans="1:5" x14ac:dyDescent="0.3">
      <c r="A110" t="s">
        <v>189</v>
      </c>
      <c r="B110">
        <f>'mol% to wt% Conversions'!B75</f>
        <v>0.27638339804215295</v>
      </c>
      <c r="C110">
        <f t="shared" si="4"/>
        <v>2.7638339804215294E-3</v>
      </c>
      <c r="D110">
        <f>$D$22</f>
        <v>1513</v>
      </c>
      <c r="E110">
        <f t="shared" si="5"/>
        <v>4.181680812377774</v>
      </c>
    </row>
    <row r="111" spans="1:5" x14ac:dyDescent="0.3">
      <c r="A111" t="s">
        <v>191</v>
      </c>
      <c r="B111">
        <f>'mol% to wt% Conversions'!B76</f>
        <v>3.1884449876933862</v>
      </c>
      <c r="C111">
        <f t="shared" si="4"/>
        <v>3.1884449876933861E-2</v>
      </c>
      <c r="D111">
        <f>$D$23</f>
        <v>2316</v>
      </c>
      <c r="E111">
        <f t="shared" si="5"/>
        <v>73.844385914978815</v>
      </c>
    </row>
    <row r="112" spans="1:5" x14ac:dyDescent="0.3">
      <c r="A112" t="s">
        <v>193</v>
      </c>
      <c r="B112">
        <f>'mol% to wt% Conversions'!B77</f>
        <v>0.23544214273380915</v>
      </c>
      <c r="C112">
        <f t="shared" si="4"/>
        <v>2.3544214273380913E-3</v>
      </c>
      <c r="D112">
        <f>$D$24</f>
        <v>2185</v>
      </c>
      <c r="E112">
        <f t="shared" si="5"/>
        <v>5.1444108187337294</v>
      </c>
    </row>
    <row r="113" spans="1:5" x14ac:dyDescent="0.3">
      <c r="A113" t="s">
        <v>196</v>
      </c>
      <c r="B113">
        <f>'mol% to wt% Conversions'!B78</f>
        <v>2.4778703761074441</v>
      </c>
      <c r="C113">
        <f t="shared" si="4"/>
        <v>2.4778703761074442E-2</v>
      </c>
      <c r="D113">
        <f>$D$25</f>
        <v>3012</v>
      </c>
      <c r="E113">
        <f t="shared" ref="E113:E121" si="6">C113*D113</f>
        <v>74.633455728356225</v>
      </c>
    </row>
    <row r="114" spans="1:5" x14ac:dyDescent="0.3">
      <c r="A114" t="s">
        <v>325</v>
      </c>
      <c r="B114">
        <f>'mol% to wt% Conversions'!B79</f>
        <v>1.8501827065409864</v>
      </c>
      <c r="C114">
        <f t="shared" si="4"/>
        <v>1.8501827065409863E-2</v>
      </c>
      <c r="D114">
        <f>$D$26</f>
        <v>2999</v>
      </c>
      <c r="E114">
        <f t="shared" si="6"/>
        <v>55.486979369164182</v>
      </c>
    </row>
    <row r="115" spans="1:5" x14ac:dyDescent="0.3">
      <c r="A115" t="s">
        <v>210</v>
      </c>
      <c r="B115">
        <f>'mol% to wt% Conversions'!B80</f>
        <v>0</v>
      </c>
      <c r="C115">
        <f t="shared" si="4"/>
        <v>0</v>
      </c>
      <c r="D115">
        <f>$D$27</f>
        <v>2885</v>
      </c>
      <c r="E115">
        <f t="shared" si="6"/>
        <v>0</v>
      </c>
    </row>
    <row r="116" spans="1:5" x14ac:dyDescent="0.3">
      <c r="A116" t="s">
        <v>267</v>
      </c>
      <c r="B116">
        <f>'mol% to wt% Conversions'!B81</f>
        <v>0</v>
      </c>
      <c r="C116">
        <f t="shared" si="4"/>
        <v>0</v>
      </c>
      <c r="D116">
        <f>$D$28</f>
        <v>3707</v>
      </c>
      <c r="E116">
        <f t="shared" si="6"/>
        <v>0</v>
      </c>
    </row>
    <row r="117" spans="1:5" x14ac:dyDescent="0.3">
      <c r="A117" t="s">
        <v>271</v>
      </c>
      <c r="B117">
        <f>'mol% to wt% Conversions'!B82</f>
        <v>0</v>
      </c>
      <c r="C117">
        <f t="shared" si="4"/>
        <v>0</v>
      </c>
      <c r="D117">
        <f>$D$30</f>
        <v>4404</v>
      </c>
      <c r="E117">
        <f t="shared" si="6"/>
        <v>0</v>
      </c>
    </row>
    <row r="118" spans="1:5" x14ac:dyDescent="0.3">
      <c r="A118" t="s">
        <v>74</v>
      </c>
      <c r="B118">
        <f>'mol% to wt% Conversions'!B83</f>
        <v>0.76472860918163177</v>
      </c>
      <c r="C118">
        <f t="shared" si="4"/>
        <v>7.6472860918163181E-3</v>
      </c>
      <c r="D118">
        <f>$D$31</f>
        <v>3700</v>
      </c>
      <c r="E118">
        <f t="shared" si="6"/>
        <v>28.294958539720376</v>
      </c>
    </row>
    <row r="119" spans="1:5" x14ac:dyDescent="0.3">
      <c r="A119" t="s">
        <v>215</v>
      </c>
      <c r="B119">
        <f>'mol% to wt% Conversions'!B84</f>
        <v>0</v>
      </c>
      <c r="C119">
        <f t="shared" si="4"/>
        <v>0</v>
      </c>
      <c r="D119">
        <f>$D$32</f>
        <v>596</v>
      </c>
      <c r="E119">
        <f t="shared" si="6"/>
        <v>0</v>
      </c>
    </row>
    <row r="120" spans="1:5" x14ac:dyDescent="0.3">
      <c r="A120" t="s">
        <v>199</v>
      </c>
      <c r="B120">
        <f>'mol% to wt% Conversions'!B85</f>
        <v>0</v>
      </c>
      <c r="C120">
        <f t="shared" si="4"/>
        <v>0</v>
      </c>
      <c r="D120">
        <f>$D$33</f>
        <v>322</v>
      </c>
      <c r="E120">
        <f t="shared" si="6"/>
        <v>0</v>
      </c>
    </row>
    <row r="121" spans="1:5" x14ac:dyDescent="0.3">
      <c r="A121" t="s">
        <v>200</v>
      </c>
      <c r="B121">
        <f>'mol% to wt% Conversions'!B86</f>
        <v>1.796260468609963</v>
      </c>
      <c r="C121">
        <f t="shared" si="4"/>
        <v>1.7962604686099629E-2</v>
      </c>
      <c r="D121">
        <f>$D$34</f>
        <v>0</v>
      </c>
      <c r="E121">
        <f t="shared" si="6"/>
        <v>0</v>
      </c>
    </row>
    <row r="122" spans="1:5" x14ac:dyDescent="0.3">
      <c r="A122" t="s">
        <v>202</v>
      </c>
      <c r="B122">
        <f>'mol% to wt% Conversions'!B87</f>
        <v>0</v>
      </c>
      <c r="C122">
        <f t="shared" si="4"/>
        <v>0</v>
      </c>
      <c r="D122">
        <f>$D$35</f>
        <v>0</v>
      </c>
      <c r="E122">
        <f>C122*D122</f>
        <v>0</v>
      </c>
    </row>
    <row r="123" spans="1:5" x14ac:dyDescent="0.3">
      <c r="A123" s="41" t="s">
        <v>97</v>
      </c>
      <c r="B123" s="38">
        <f>SUM(B107:B122)</f>
        <v>99.996290322580649</v>
      </c>
      <c r="C123" s="38">
        <f>SUM(C107:C122)</f>
        <v>0.9999629032258065</v>
      </c>
      <c r="E123" s="65">
        <f>SUM(E107:E122)</f>
        <v>888.84373865875546</v>
      </c>
    </row>
    <row r="125" spans="1:5" x14ac:dyDescent="0.3">
      <c r="A125" s="66" t="s">
        <v>315</v>
      </c>
      <c r="C125" s="67" t="s">
        <v>316</v>
      </c>
      <c r="E125" s="67" t="s">
        <v>4</v>
      </c>
    </row>
    <row r="126" spans="1:5" x14ac:dyDescent="0.3">
      <c r="A126" s="41" t="s">
        <v>265</v>
      </c>
      <c r="E126" s="68">
        <f>E123</f>
        <v>888.84373865875546</v>
      </c>
    </row>
    <row r="127" spans="1:5" x14ac:dyDescent="0.3">
      <c r="A127" s="41" t="s">
        <v>317</v>
      </c>
      <c r="E127" s="68">
        <f>E126*$B$11</f>
        <v>31389.249977612351</v>
      </c>
    </row>
    <row r="128" spans="1:5" x14ac:dyDescent="0.3">
      <c r="A128" s="41" t="s">
        <v>318</v>
      </c>
      <c r="E128" s="68">
        <f>E126*$B$12</f>
        <v>7910.0870834458628</v>
      </c>
    </row>
    <row r="129" spans="1:5" x14ac:dyDescent="0.3">
      <c r="A129" s="41" t="s">
        <v>319</v>
      </c>
      <c r="E129" s="68">
        <f>E126*$B$13</f>
        <v>33.127206139811811</v>
      </c>
    </row>
    <row r="130" spans="1:5" x14ac:dyDescent="0.3">
      <c r="A130" s="67" t="s">
        <v>322</v>
      </c>
    </row>
    <row r="131" spans="1:5" x14ac:dyDescent="0.3">
      <c r="A131" s="41" t="s">
        <v>320</v>
      </c>
      <c r="E131" s="68">
        <f>'mol% to wt% Conversions'!E88</f>
        <v>16.092567641224772</v>
      </c>
    </row>
    <row r="132" spans="1:5" x14ac:dyDescent="0.3">
      <c r="A132" s="41" t="s">
        <v>311</v>
      </c>
      <c r="E132" s="68">
        <f>E126*379.5/E131</f>
        <v>20960.993070918372</v>
      </c>
    </row>
    <row r="133" spans="1:5" x14ac:dyDescent="0.3">
      <c r="A133" s="41" t="s">
        <v>321</v>
      </c>
      <c r="E133" s="68">
        <f>E132*$B$14</f>
        <v>11645.927750202247</v>
      </c>
    </row>
    <row r="134" spans="1:5" x14ac:dyDescent="0.3">
      <c r="A134" s="41" t="s">
        <v>55</v>
      </c>
      <c r="E134" s="68">
        <f>E132*$B$15</f>
        <v>48.755269882956135</v>
      </c>
    </row>
    <row r="137" spans="1:5" ht="15.6" x14ac:dyDescent="0.3">
      <c r="A137" s="85" t="s">
        <v>233</v>
      </c>
      <c r="B137" s="85"/>
      <c r="C137" s="85"/>
      <c r="D137" s="85"/>
      <c r="E137" s="85"/>
    </row>
    <row r="138" spans="1:5" x14ac:dyDescent="0.3">
      <c r="A138" s="64" t="s">
        <v>324</v>
      </c>
    </row>
    <row r="139" spans="1:5" x14ac:dyDescent="0.3">
      <c r="A139" s="61" t="s">
        <v>28</v>
      </c>
      <c r="B139" s="61" t="s">
        <v>221</v>
      </c>
      <c r="C139" s="61" t="s">
        <v>281</v>
      </c>
      <c r="D139" s="61" t="s">
        <v>265</v>
      </c>
      <c r="E139" s="62" t="s">
        <v>282</v>
      </c>
    </row>
    <row r="140" spans="1:5" x14ac:dyDescent="0.3">
      <c r="A140" t="s">
        <v>183</v>
      </c>
      <c r="B140">
        <f>'mol% to wt% Conversions'!B94</f>
        <v>3.0000000000000009E-3</v>
      </c>
      <c r="C140">
        <f t="shared" ref="C140:C155" si="7">B140/100</f>
        <v>3.0000000000000011E-5</v>
      </c>
      <c r="D140">
        <f>$D$19</f>
        <v>275</v>
      </c>
      <c r="E140">
        <f t="shared" ref="E140:E145" si="8">C140*D140</f>
        <v>8.2500000000000039E-3</v>
      </c>
    </row>
    <row r="141" spans="1:5" x14ac:dyDescent="0.3">
      <c r="A141" t="s">
        <v>185</v>
      </c>
      <c r="B141">
        <f>'mol% to wt% Conversions'!B95</f>
        <v>91.147552851997361</v>
      </c>
      <c r="C141">
        <f t="shared" si="7"/>
        <v>0.9114755285199736</v>
      </c>
      <c r="D141">
        <f>$D$20</f>
        <v>911</v>
      </c>
      <c r="E141">
        <f t="shared" si="8"/>
        <v>830.354206481696</v>
      </c>
    </row>
    <row r="142" spans="1:5" x14ac:dyDescent="0.3">
      <c r="A142" t="s">
        <v>187</v>
      </c>
      <c r="B142">
        <f>'mol% to wt% Conversions'!B96</f>
        <v>4.4423600835443953</v>
      </c>
      <c r="C142">
        <f t="shared" si="7"/>
        <v>4.4423600835443951E-2</v>
      </c>
      <c r="D142">
        <f>$D$21</f>
        <v>1622</v>
      </c>
      <c r="E142">
        <f t="shared" si="8"/>
        <v>72.055080555090086</v>
      </c>
    </row>
    <row r="143" spans="1:5" x14ac:dyDescent="0.3">
      <c r="A143" t="s">
        <v>189</v>
      </c>
      <c r="B143">
        <f>'mol% to wt% Conversions'!B97</f>
        <v>0</v>
      </c>
      <c r="C143">
        <f t="shared" si="7"/>
        <v>0</v>
      </c>
      <c r="D143">
        <f>$D$22</f>
        <v>1513</v>
      </c>
      <c r="E143">
        <f t="shared" si="8"/>
        <v>0</v>
      </c>
    </row>
    <row r="144" spans="1:5" x14ac:dyDescent="0.3">
      <c r="A144" t="s">
        <v>191</v>
      </c>
      <c r="B144">
        <f>'mol% to wt% Conversions'!B98</f>
        <v>0.81878017234722744</v>
      </c>
      <c r="C144">
        <f t="shared" si="7"/>
        <v>8.1878017234722749E-3</v>
      </c>
      <c r="D144">
        <f>$D$23</f>
        <v>2316</v>
      </c>
      <c r="E144">
        <f t="shared" si="8"/>
        <v>18.962948791561789</v>
      </c>
    </row>
    <row r="145" spans="1:5" x14ac:dyDescent="0.3">
      <c r="A145" t="s">
        <v>193</v>
      </c>
      <c r="B145">
        <f>'mol% to wt% Conversions'!B99</f>
        <v>0</v>
      </c>
      <c r="C145">
        <f t="shared" si="7"/>
        <v>0</v>
      </c>
      <c r="D145">
        <f>$D$24</f>
        <v>2185</v>
      </c>
      <c r="E145">
        <f t="shared" si="8"/>
        <v>0</v>
      </c>
    </row>
    <row r="146" spans="1:5" x14ac:dyDescent="0.3">
      <c r="A146" t="s">
        <v>196</v>
      </c>
      <c r="B146">
        <f>'mol% to wt% Conversions'!B100</f>
        <v>0.13449712943309694</v>
      </c>
      <c r="C146">
        <f t="shared" si="7"/>
        <v>1.3449712943309695E-3</v>
      </c>
      <c r="D146">
        <f>$D$25</f>
        <v>3012</v>
      </c>
      <c r="E146">
        <f t="shared" ref="E146:E155" si="9">C146*D146</f>
        <v>4.0510535385248803</v>
      </c>
    </row>
    <row r="147" spans="1:5" x14ac:dyDescent="0.3">
      <c r="A147" t="s">
        <v>325</v>
      </c>
      <c r="B147">
        <f>'mol% to wt% Conversions'!B101</f>
        <v>0.11658598083640401</v>
      </c>
      <c r="C147">
        <f t="shared" si="7"/>
        <v>1.16585980836404E-3</v>
      </c>
      <c r="D147">
        <f>$D$26</f>
        <v>2999</v>
      </c>
      <c r="E147">
        <f t="shared" si="9"/>
        <v>3.4964135652837558</v>
      </c>
    </row>
    <row r="148" spans="1:5" x14ac:dyDescent="0.3">
      <c r="A148" t="s">
        <v>210</v>
      </c>
      <c r="B148">
        <f>'mol% to wt% Conversions'!B102</f>
        <v>0</v>
      </c>
      <c r="C148">
        <f t="shared" si="7"/>
        <v>0</v>
      </c>
      <c r="D148">
        <f>$D$27</f>
        <v>2885</v>
      </c>
      <c r="E148">
        <f t="shared" si="9"/>
        <v>0</v>
      </c>
    </row>
    <row r="149" spans="1:5" x14ac:dyDescent="0.3">
      <c r="A149" t="s">
        <v>267</v>
      </c>
      <c r="B149">
        <f>'mol% to wt% Conversions'!B103</f>
        <v>0</v>
      </c>
      <c r="C149">
        <f t="shared" si="7"/>
        <v>0</v>
      </c>
      <c r="D149">
        <f>$D$28</f>
        <v>3707</v>
      </c>
      <c r="E149">
        <f t="shared" si="9"/>
        <v>0</v>
      </c>
    </row>
    <row r="150" spans="1:5" x14ac:dyDescent="0.3">
      <c r="A150" t="s">
        <v>271</v>
      </c>
      <c r="B150">
        <f>'mol% to wt% Conversions'!B104</f>
        <v>0</v>
      </c>
      <c r="C150">
        <f t="shared" si="7"/>
        <v>0</v>
      </c>
      <c r="D150">
        <f>$D$30</f>
        <v>4404</v>
      </c>
      <c r="E150">
        <f t="shared" si="9"/>
        <v>0</v>
      </c>
    </row>
    <row r="151" spans="1:5" x14ac:dyDescent="0.3">
      <c r="A151" t="s">
        <v>74</v>
      </c>
      <c r="B151">
        <f>'mol% to wt% Conversions'!B105</f>
        <v>7.8391058044827946E-2</v>
      </c>
      <c r="C151">
        <f t="shared" si="7"/>
        <v>7.8391058044827947E-4</v>
      </c>
      <c r="D151">
        <f>$D$31</f>
        <v>3700</v>
      </c>
      <c r="E151">
        <f t="shared" si="9"/>
        <v>2.900469147658634</v>
      </c>
    </row>
    <row r="152" spans="1:5" x14ac:dyDescent="0.3">
      <c r="A152" t="s">
        <v>215</v>
      </c>
      <c r="B152">
        <f>'mol% to wt% Conversions'!B106</f>
        <v>0</v>
      </c>
      <c r="C152">
        <f t="shared" si="7"/>
        <v>0</v>
      </c>
      <c r="D152">
        <f>$D$32</f>
        <v>596</v>
      </c>
      <c r="E152">
        <f t="shared" si="9"/>
        <v>0</v>
      </c>
    </row>
    <row r="153" spans="1:5" x14ac:dyDescent="0.3">
      <c r="A153" t="s">
        <v>199</v>
      </c>
      <c r="B153">
        <f>'mol% to wt% Conversions'!B107</f>
        <v>0</v>
      </c>
      <c r="C153">
        <f t="shared" si="7"/>
        <v>0</v>
      </c>
      <c r="D153">
        <f>$D$33</f>
        <v>322</v>
      </c>
      <c r="E153">
        <f t="shared" si="9"/>
        <v>0</v>
      </c>
    </row>
    <row r="154" spans="1:5" x14ac:dyDescent="0.3">
      <c r="A154" t="s">
        <v>200</v>
      </c>
      <c r="B154">
        <f>'mol% to wt% Conversions'!B108</f>
        <v>2.732911388931266</v>
      </c>
      <c r="C154">
        <f t="shared" si="7"/>
        <v>2.732911388931266E-2</v>
      </c>
      <c r="D154">
        <f>$D$34</f>
        <v>0</v>
      </c>
      <c r="E154">
        <f t="shared" si="9"/>
        <v>0</v>
      </c>
    </row>
    <row r="155" spans="1:5" x14ac:dyDescent="0.3">
      <c r="A155" t="s">
        <v>202</v>
      </c>
      <c r="B155">
        <f>'mol% to wt% Conversions'!B109</f>
        <v>0.52592133486542736</v>
      </c>
      <c r="C155">
        <f t="shared" si="7"/>
        <v>5.2592133486542734E-3</v>
      </c>
      <c r="D155">
        <f>$D$35</f>
        <v>0</v>
      </c>
      <c r="E155">
        <f t="shared" si="9"/>
        <v>0</v>
      </c>
    </row>
    <row r="156" spans="1:5" x14ac:dyDescent="0.3">
      <c r="A156" s="41" t="s">
        <v>97</v>
      </c>
      <c r="B156" s="38">
        <f>SUM(B140:B155)</f>
        <v>100.00000000000003</v>
      </c>
      <c r="C156" s="38">
        <f>SUM(C140:C155)</f>
        <v>1</v>
      </c>
      <c r="E156" s="65">
        <f>SUM(E140:E155)</f>
        <v>931.82842207981514</v>
      </c>
    </row>
    <row r="158" spans="1:5" x14ac:dyDescent="0.3">
      <c r="A158" s="66" t="s">
        <v>315</v>
      </c>
      <c r="C158" s="67" t="s">
        <v>316</v>
      </c>
      <c r="E158" s="67" t="s">
        <v>4</v>
      </c>
    </row>
    <row r="159" spans="1:5" x14ac:dyDescent="0.3">
      <c r="A159" s="41" t="s">
        <v>265</v>
      </c>
      <c r="E159" s="68">
        <f>E156</f>
        <v>931.82842207981514</v>
      </c>
    </row>
    <row r="160" spans="1:5" x14ac:dyDescent="0.3">
      <c r="A160" s="41" t="s">
        <v>317</v>
      </c>
      <c r="E160" s="68">
        <f>E159*$B$11</f>
        <v>32907.241177222051</v>
      </c>
    </row>
    <row r="161" spans="1:5" x14ac:dyDescent="0.3">
      <c r="A161" s="41" t="s">
        <v>318</v>
      </c>
      <c r="E161" s="68">
        <f>E159*$B$12</f>
        <v>8292.6206766148989</v>
      </c>
    </row>
    <row r="162" spans="1:5" x14ac:dyDescent="0.3">
      <c r="A162" s="41" t="s">
        <v>319</v>
      </c>
      <c r="E162" s="68">
        <f>E159*$B$13</f>
        <v>34.729245290914712</v>
      </c>
    </row>
    <row r="163" spans="1:5" x14ac:dyDescent="0.3">
      <c r="A163" s="67" t="s">
        <v>322</v>
      </c>
    </row>
    <row r="164" spans="1:5" x14ac:dyDescent="0.3">
      <c r="A164" s="41" t="s">
        <v>320</v>
      </c>
      <c r="E164" s="68">
        <f>'mol% to wt% Conversions'!E110</f>
        <v>17.881427462403217</v>
      </c>
    </row>
    <row r="165" spans="1:5" x14ac:dyDescent="0.3">
      <c r="A165" s="41" t="s">
        <v>311</v>
      </c>
      <c r="E165" s="68">
        <f>E159*379.5/E164</f>
        <v>19776.323054902412</v>
      </c>
    </row>
    <row r="166" spans="1:5" x14ac:dyDescent="0.3">
      <c r="A166" s="41" t="s">
        <v>321</v>
      </c>
      <c r="E166" s="68">
        <f>E165*$B$14</f>
        <v>10987.72508930378</v>
      </c>
    </row>
    <row r="167" spans="1:5" x14ac:dyDescent="0.3">
      <c r="A167" s="41" t="s">
        <v>55</v>
      </c>
      <c r="E167" s="68">
        <f>E165*$B$15</f>
        <v>45.999727425703007</v>
      </c>
    </row>
    <row r="170" spans="1:5" ht="15.6" x14ac:dyDescent="0.3">
      <c r="A170" s="85" t="s">
        <v>234</v>
      </c>
      <c r="B170" s="85"/>
      <c r="C170" s="85"/>
      <c r="D170" s="85"/>
      <c r="E170" s="85"/>
    </row>
    <row r="171" spans="1:5" x14ac:dyDescent="0.3">
      <c r="A171" s="64" t="s">
        <v>327</v>
      </c>
    </row>
    <row r="172" spans="1:5" x14ac:dyDescent="0.3">
      <c r="A172" s="61" t="s">
        <v>28</v>
      </c>
      <c r="B172" s="61" t="s">
        <v>221</v>
      </c>
      <c r="C172" s="61" t="s">
        <v>281</v>
      </c>
      <c r="D172" s="61" t="s">
        <v>265</v>
      </c>
      <c r="E172" s="62" t="s">
        <v>282</v>
      </c>
    </row>
    <row r="173" spans="1:5" x14ac:dyDescent="0.3">
      <c r="A173" t="s">
        <v>183</v>
      </c>
      <c r="B173">
        <f>'mol% to wt% Conversions'!B116</f>
        <v>27.98907987711214</v>
      </c>
      <c r="C173">
        <f t="shared" ref="C173:C188" si="10">B173/100</f>
        <v>0.27989079877112139</v>
      </c>
      <c r="D173">
        <f>$D$19</f>
        <v>275</v>
      </c>
      <c r="E173">
        <f t="shared" ref="E173:E178" si="11">C173*D173</f>
        <v>76.969969662058375</v>
      </c>
    </row>
    <row r="174" spans="1:5" x14ac:dyDescent="0.3">
      <c r="A174" t="s">
        <v>185</v>
      </c>
      <c r="B174">
        <f>'mol% to wt% Conversions'!B117</f>
        <v>13.113559139784945</v>
      </c>
      <c r="C174">
        <f t="shared" si="10"/>
        <v>0.13113559139784944</v>
      </c>
      <c r="D174">
        <f>$D$20</f>
        <v>911</v>
      </c>
      <c r="E174">
        <f t="shared" si="11"/>
        <v>119.46452376344084</v>
      </c>
    </row>
    <row r="175" spans="1:5" x14ac:dyDescent="0.3">
      <c r="A175" t="s">
        <v>187</v>
      </c>
      <c r="B175">
        <f>'mol% to wt% Conversions'!B118</f>
        <v>4.8387096774193551E-3</v>
      </c>
      <c r="C175">
        <f t="shared" si="10"/>
        <v>4.8387096774193554E-5</v>
      </c>
      <c r="D175">
        <f>$D$21</f>
        <v>1622</v>
      </c>
      <c r="E175">
        <f t="shared" si="11"/>
        <v>7.8483870967741939E-2</v>
      </c>
    </row>
    <row r="176" spans="1:5" x14ac:dyDescent="0.3">
      <c r="A176" t="s">
        <v>189</v>
      </c>
      <c r="B176">
        <f>'mol% to wt% Conversions'!B119</f>
        <v>0</v>
      </c>
      <c r="C176">
        <f t="shared" si="10"/>
        <v>0</v>
      </c>
      <c r="D176">
        <f>$D$22</f>
        <v>1513</v>
      </c>
      <c r="E176">
        <f t="shared" si="11"/>
        <v>0</v>
      </c>
    </row>
    <row r="177" spans="1:5" x14ac:dyDescent="0.3">
      <c r="A177" t="s">
        <v>191</v>
      </c>
      <c r="B177">
        <f>'mol% to wt% Conversions'!B120</f>
        <v>5.8064516129032271E-3</v>
      </c>
      <c r="C177">
        <f t="shared" si="10"/>
        <v>5.8064516129032273E-5</v>
      </c>
      <c r="D177">
        <f>$D$23</f>
        <v>2316</v>
      </c>
      <c r="E177">
        <f t="shared" si="11"/>
        <v>0.13447741935483876</v>
      </c>
    </row>
    <row r="178" spans="1:5" x14ac:dyDescent="0.3">
      <c r="A178" t="s">
        <v>193</v>
      </c>
      <c r="B178">
        <f>'mol% to wt% Conversions'!B121</f>
        <v>0</v>
      </c>
      <c r="C178">
        <f t="shared" si="10"/>
        <v>0</v>
      </c>
      <c r="D178">
        <f>$D$24</f>
        <v>2185</v>
      </c>
      <c r="E178">
        <f t="shared" si="11"/>
        <v>0</v>
      </c>
    </row>
    <row r="179" spans="1:5" x14ac:dyDescent="0.3">
      <c r="A179" t="s">
        <v>196</v>
      </c>
      <c r="B179">
        <f>'mol% to wt% Conversions'!B122</f>
        <v>2.258064516129032E-3</v>
      </c>
      <c r="C179">
        <f t="shared" si="10"/>
        <v>2.2580645161290321E-5</v>
      </c>
      <c r="D179">
        <f>$D$25</f>
        <v>3012</v>
      </c>
      <c r="E179">
        <f t="shared" ref="E179:E188" si="12">C179*D179</f>
        <v>6.8012903225806443E-2</v>
      </c>
    </row>
    <row r="180" spans="1:5" x14ac:dyDescent="0.3">
      <c r="A180" t="s">
        <v>325</v>
      </c>
      <c r="B180">
        <f>'mol% to wt% Conversions'!B123</f>
        <v>2.9032258064516136E-3</v>
      </c>
      <c r="C180">
        <f t="shared" si="10"/>
        <v>2.9032258064516136E-5</v>
      </c>
      <c r="D180">
        <f>$D$26</f>
        <v>2999</v>
      </c>
      <c r="E180">
        <f t="shared" si="12"/>
        <v>8.7067741935483889E-2</v>
      </c>
    </row>
    <row r="181" spans="1:5" x14ac:dyDescent="0.3">
      <c r="A181" t="s">
        <v>210</v>
      </c>
      <c r="B181">
        <f>'mol% to wt% Conversions'!B124</f>
        <v>0</v>
      </c>
      <c r="C181">
        <f t="shared" si="10"/>
        <v>0</v>
      </c>
      <c r="D181">
        <f>$D$27</f>
        <v>2885</v>
      </c>
      <c r="E181">
        <f t="shared" si="12"/>
        <v>0</v>
      </c>
    </row>
    <row r="182" spans="1:5" x14ac:dyDescent="0.3">
      <c r="A182" t="s">
        <v>267</v>
      </c>
      <c r="B182">
        <f>'mol% to wt% Conversions'!B125</f>
        <v>0</v>
      </c>
      <c r="C182">
        <f t="shared" si="10"/>
        <v>0</v>
      </c>
      <c r="D182">
        <f>$D$28</f>
        <v>3707</v>
      </c>
      <c r="E182">
        <f t="shared" si="12"/>
        <v>0</v>
      </c>
    </row>
    <row r="183" spans="1:5" x14ac:dyDescent="0.3">
      <c r="A183" t="s">
        <v>271</v>
      </c>
      <c r="B183">
        <f>'mol% to wt% Conversions'!B126</f>
        <v>0</v>
      </c>
      <c r="C183">
        <f t="shared" si="10"/>
        <v>0</v>
      </c>
      <c r="D183">
        <f>$D$30</f>
        <v>4404</v>
      </c>
      <c r="E183">
        <f t="shared" si="12"/>
        <v>0</v>
      </c>
    </row>
    <row r="184" spans="1:5" x14ac:dyDescent="0.3">
      <c r="A184" t="s">
        <v>74</v>
      </c>
      <c r="B184">
        <f>'mol% to wt% Conversions'!B127</f>
        <v>9.480030721966206E-3</v>
      </c>
      <c r="C184">
        <f t="shared" si="10"/>
        <v>9.4800307219662064E-5</v>
      </c>
      <c r="D184">
        <f>$D$31</f>
        <v>3700</v>
      </c>
      <c r="E184">
        <f t="shared" si="12"/>
        <v>0.35076113671274961</v>
      </c>
    </row>
    <row r="185" spans="1:5" x14ac:dyDescent="0.3">
      <c r="A185" t="s">
        <v>215</v>
      </c>
      <c r="B185">
        <f>'mol% to wt% Conversions'!B128</f>
        <v>0</v>
      </c>
      <c r="C185">
        <f t="shared" si="10"/>
        <v>0</v>
      </c>
      <c r="D185">
        <f>$D$32</f>
        <v>596</v>
      </c>
      <c r="E185">
        <f t="shared" si="12"/>
        <v>0</v>
      </c>
    </row>
    <row r="186" spans="1:5" x14ac:dyDescent="0.3">
      <c r="A186" t="s">
        <v>199</v>
      </c>
      <c r="B186">
        <f>'mol% to wt% Conversions'!B129</f>
        <v>12.305662826420891</v>
      </c>
      <c r="C186">
        <f t="shared" si="10"/>
        <v>0.12305662826420891</v>
      </c>
      <c r="D186">
        <f>$D$33</f>
        <v>322</v>
      </c>
      <c r="E186">
        <f t="shared" si="12"/>
        <v>39.624234301075269</v>
      </c>
    </row>
    <row r="187" spans="1:5" x14ac:dyDescent="0.3">
      <c r="A187" t="s">
        <v>200</v>
      </c>
      <c r="B187">
        <f>'mol% to wt% Conversions'!B130</f>
        <v>46.565411674347153</v>
      </c>
      <c r="C187">
        <f t="shared" si="10"/>
        <v>0.46565411674347151</v>
      </c>
      <c r="D187">
        <f>$D$34</f>
        <v>0</v>
      </c>
      <c r="E187">
        <f t="shared" si="12"/>
        <v>0</v>
      </c>
    </row>
    <row r="188" spans="1:5" x14ac:dyDescent="0.3">
      <c r="A188" t="s">
        <v>202</v>
      </c>
      <c r="B188">
        <f>'mol% to wt% Conversions'!B131</f>
        <v>0</v>
      </c>
      <c r="C188">
        <f t="shared" si="10"/>
        <v>0</v>
      </c>
      <c r="D188">
        <f>$D$35</f>
        <v>0</v>
      </c>
      <c r="E188">
        <f t="shared" si="12"/>
        <v>0</v>
      </c>
    </row>
    <row r="189" spans="1:5" x14ac:dyDescent="0.3">
      <c r="A189" s="41" t="s">
        <v>97</v>
      </c>
      <c r="B189" s="38">
        <f>SUM(B173:B188)</f>
        <v>99.998999999999995</v>
      </c>
      <c r="C189" s="38">
        <f>SUM(C173:C188)</f>
        <v>0.99998999999999993</v>
      </c>
      <c r="E189" s="65">
        <f>SUM(E173:E188)</f>
        <v>236.7775307987711</v>
      </c>
    </row>
    <row r="191" spans="1:5" x14ac:dyDescent="0.3">
      <c r="A191" s="66" t="s">
        <v>315</v>
      </c>
      <c r="C191" s="67" t="s">
        <v>316</v>
      </c>
      <c r="E191" s="67" t="s">
        <v>4</v>
      </c>
    </row>
    <row r="192" spans="1:5" x14ac:dyDescent="0.3">
      <c r="A192" s="41" t="s">
        <v>265</v>
      </c>
      <c r="E192" s="68">
        <f>E189</f>
        <v>236.7775307987711</v>
      </c>
    </row>
    <row r="193" spans="1:5" x14ac:dyDescent="0.3">
      <c r="A193" s="41" t="s">
        <v>317</v>
      </c>
      <c r="E193" s="68">
        <f>E192*$B$11</f>
        <v>8361.7274668993614</v>
      </c>
    </row>
    <row r="194" spans="1:5" x14ac:dyDescent="0.3">
      <c r="A194" s="41" t="s">
        <v>318</v>
      </c>
      <c r="E194" s="68">
        <f>E192*$B$12</f>
        <v>2107.1542798375035</v>
      </c>
    </row>
    <row r="195" spans="1:5" x14ac:dyDescent="0.3">
      <c r="A195" s="41" t="s">
        <v>319</v>
      </c>
      <c r="E195" s="68">
        <f>E192*$B$13</f>
        <v>8.824698572870199</v>
      </c>
    </row>
    <row r="196" spans="1:5" x14ac:dyDescent="0.3">
      <c r="A196" s="67" t="s">
        <v>322</v>
      </c>
    </row>
    <row r="197" spans="1:5" x14ac:dyDescent="0.3">
      <c r="A197" s="41" t="s">
        <v>320</v>
      </c>
      <c r="E197" s="68">
        <f>'mol% to wt% Conversions'!E132</f>
        <v>26.623264107910902</v>
      </c>
    </row>
    <row r="198" spans="1:5" x14ac:dyDescent="0.3">
      <c r="A198" s="41" t="s">
        <v>311</v>
      </c>
      <c r="E198" s="68">
        <f>E192*379.5/E197</f>
        <v>3375.1335889513743</v>
      </c>
    </row>
    <row r="199" spans="1:5" x14ac:dyDescent="0.3">
      <c r="A199" s="41" t="s">
        <v>321</v>
      </c>
      <c r="E199" s="68">
        <f>E198*$B$14</f>
        <v>1875.2242220213836</v>
      </c>
    </row>
    <row r="200" spans="1:5" x14ac:dyDescent="0.3">
      <c r="A200" s="41" t="s">
        <v>55</v>
      </c>
      <c r="E200" s="68">
        <f>E198*$B$15</f>
        <v>7.8505607279008967</v>
      </c>
    </row>
    <row r="203" spans="1:5" ht="15.6" x14ac:dyDescent="0.3">
      <c r="A203" s="85" t="s">
        <v>236</v>
      </c>
      <c r="B203" s="85"/>
      <c r="C203" s="85"/>
      <c r="D203" s="85"/>
      <c r="E203" s="85"/>
    </row>
    <row r="204" spans="1:5" x14ac:dyDescent="0.3">
      <c r="A204" s="64" t="s">
        <v>328</v>
      </c>
    </row>
    <row r="205" spans="1:5" x14ac:dyDescent="0.3">
      <c r="A205" s="61" t="s">
        <v>28</v>
      </c>
      <c r="B205" s="61" t="s">
        <v>221</v>
      </c>
      <c r="C205" s="61" t="s">
        <v>281</v>
      </c>
      <c r="D205" s="61" t="s">
        <v>265</v>
      </c>
      <c r="E205" s="62" t="s">
        <v>282</v>
      </c>
    </row>
    <row r="206" spans="1:5" x14ac:dyDescent="0.3">
      <c r="A206" t="s">
        <v>183</v>
      </c>
      <c r="B206">
        <f>'mol% to wt% Conversions'!B138</f>
        <v>64.7913888103906</v>
      </c>
      <c r="C206">
        <f t="shared" ref="C206:C221" si="13">B206/100</f>
        <v>0.64791388810390604</v>
      </c>
      <c r="D206">
        <f>$D$19</f>
        <v>275</v>
      </c>
      <c r="E206">
        <f t="shared" ref="E206:E211" si="14">C206*D206</f>
        <v>178.17631922857416</v>
      </c>
    </row>
    <row r="207" spans="1:5" x14ac:dyDescent="0.3">
      <c r="A207" t="s">
        <v>185</v>
      </c>
      <c r="B207">
        <f>'mol% to wt% Conversions'!B139</f>
        <v>7.9258547575934983</v>
      </c>
      <c r="C207">
        <f t="shared" si="13"/>
        <v>7.9258547575934979E-2</v>
      </c>
      <c r="D207">
        <f>$D$20</f>
        <v>911</v>
      </c>
      <c r="E207">
        <f t="shared" si="14"/>
        <v>72.20453684167677</v>
      </c>
    </row>
    <row r="208" spans="1:5" x14ac:dyDescent="0.3">
      <c r="A208" t="s">
        <v>187</v>
      </c>
      <c r="B208">
        <f>'mol% to wt% Conversions'!B140</f>
        <v>11.613997521744807</v>
      </c>
      <c r="C208">
        <f t="shared" si="13"/>
        <v>0.11613997521744807</v>
      </c>
      <c r="D208">
        <f>$D$21</f>
        <v>1622</v>
      </c>
      <c r="E208">
        <f t="shared" si="14"/>
        <v>188.37903980270076</v>
      </c>
    </row>
    <row r="209" spans="1:5" x14ac:dyDescent="0.3">
      <c r="A209" t="s">
        <v>189</v>
      </c>
      <c r="B209">
        <f>'mol% to wt% Conversions'!B141</f>
        <v>0</v>
      </c>
      <c r="C209">
        <f t="shared" si="13"/>
        <v>0</v>
      </c>
      <c r="D209">
        <f>$D$22</f>
        <v>1513</v>
      </c>
      <c r="E209">
        <f t="shared" si="14"/>
        <v>0</v>
      </c>
    </row>
    <row r="210" spans="1:5" x14ac:dyDescent="0.3">
      <c r="A210" t="s">
        <v>191</v>
      </c>
      <c r="B210">
        <f>'mol% to wt% Conversions'!B142</f>
        <v>9.6492787907328221</v>
      </c>
      <c r="C210">
        <f t="shared" si="13"/>
        <v>9.6492787907328223E-2</v>
      </c>
      <c r="D210">
        <f>$D$23</f>
        <v>2316</v>
      </c>
      <c r="E210">
        <f t="shared" si="14"/>
        <v>223.47729679337218</v>
      </c>
    </row>
    <row r="211" spans="1:5" x14ac:dyDescent="0.3">
      <c r="A211" t="s">
        <v>193</v>
      </c>
      <c r="B211">
        <f>'mol% to wt% Conversions'!B143</f>
        <v>0</v>
      </c>
      <c r="C211">
        <f t="shared" si="13"/>
        <v>0</v>
      </c>
      <c r="D211">
        <f>$D$24</f>
        <v>2185</v>
      </c>
      <c r="E211">
        <f t="shared" si="14"/>
        <v>0</v>
      </c>
    </row>
    <row r="212" spans="1:5" x14ac:dyDescent="0.3">
      <c r="A212" t="s">
        <v>196</v>
      </c>
      <c r="B212">
        <f>'mol% to wt% Conversions'!B144</f>
        <v>1.9372695625652561</v>
      </c>
      <c r="C212">
        <f t="shared" si="13"/>
        <v>1.937269562565256E-2</v>
      </c>
      <c r="D212">
        <f>$D$25</f>
        <v>3012</v>
      </c>
      <c r="E212">
        <f t="shared" ref="E212:E221" si="15">C212*D212</f>
        <v>58.350559224465513</v>
      </c>
    </row>
    <row r="213" spans="1:5" x14ac:dyDescent="0.3">
      <c r="A213" t="s">
        <v>325</v>
      </c>
      <c r="B213">
        <f>'mol% to wt% Conversions'!B145</f>
        <v>3.1710708977568616</v>
      </c>
      <c r="C213">
        <f t="shared" si="13"/>
        <v>3.1710708977568614E-2</v>
      </c>
      <c r="D213">
        <f>$D$26</f>
        <v>2999</v>
      </c>
      <c r="E213">
        <f t="shared" si="15"/>
        <v>95.100416223728274</v>
      </c>
    </row>
    <row r="214" spans="1:5" x14ac:dyDescent="0.3">
      <c r="A214" t="s">
        <v>210</v>
      </c>
      <c r="B214">
        <f>'mol% to wt% Conversions'!B146</f>
        <v>0</v>
      </c>
      <c r="C214">
        <f t="shared" si="13"/>
        <v>0</v>
      </c>
      <c r="D214">
        <f>$D$27</f>
        <v>2885</v>
      </c>
      <c r="E214">
        <f t="shared" si="15"/>
        <v>0</v>
      </c>
    </row>
    <row r="215" spans="1:5" x14ac:dyDescent="0.3">
      <c r="A215" t="s">
        <v>267</v>
      </c>
      <c r="B215">
        <f>'mol% to wt% Conversions'!B147</f>
        <v>0</v>
      </c>
      <c r="C215">
        <f t="shared" si="13"/>
        <v>0</v>
      </c>
      <c r="D215">
        <f>$D$28</f>
        <v>3707</v>
      </c>
      <c r="E215">
        <f t="shared" si="15"/>
        <v>0</v>
      </c>
    </row>
    <row r="216" spans="1:5" x14ac:dyDescent="0.3">
      <c r="A216" t="s">
        <v>271</v>
      </c>
      <c r="B216">
        <f>'mol% to wt% Conversions'!B148</f>
        <v>0</v>
      </c>
      <c r="C216">
        <f t="shared" si="13"/>
        <v>0</v>
      </c>
      <c r="D216">
        <f>$D$30</f>
        <v>4404</v>
      </c>
      <c r="E216">
        <f t="shared" si="15"/>
        <v>0</v>
      </c>
    </row>
    <row r="217" spans="1:5" x14ac:dyDescent="0.3">
      <c r="A217" t="s">
        <v>74</v>
      </c>
      <c r="B217">
        <f>'mol% to wt% Conversions'!B149</f>
        <v>0.90694611082905197</v>
      </c>
      <c r="C217">
        <f t="shared" si="13"/>
        <v>9.0694611082905198E-3</v>
      </c>
      <c r="D217">
        <f>$D$31</f>
        <v>3700</v>
      </c>
      <c r="E217">
        <f t="shared" si="15"/>
        <v>33.557006100674926</v>
      </c>
    </row>
    <row r="218" spans="1:5" x14ac:dyDescent="0.3">
      <c r="A218" t="s">
        <v>215</v>
      </c>
      <c r="B218">
        <f>'mol% to wt% Conversions'!B150</f>
        <v>0</v>
      </c>
      <c r="C218">
        <f t="shared" si="13"/>
        <v>0</v>
      </c>
      <c r="D218">
        <f>$D$32</f>
        <v>596</v>
      </c>
      <c r="E218">
        <f t="shared" si="15"/>
        <v>0</v>
      </c>
    </row>
    <row r="219" spans="1:5" x14ac:dyDescent="0.3">
      <c r="A219" t="s">
        <v>199</v>
      </c>
      <c r="B219">
        <f>'mol% to wt% Conversions'!B151</f>
        <v>0</v>
      </c>
      <c r="C219">
        <f t="shared" si="13"/>
        <v>0</v>
      </c>
      <c r="D219">
        <f>$D$33</f>
        <v>322</v>
      </c>
      <c r="E219">
        <f t="shared" si="15"/>
        <v>0</v>
      </c>
    </row>
    <row r="220" spans="1:5" x14ac:dyDescent="0.3">
      <c r="A220" t="s">
        <v>200</v>
      </c>
      <c r="B220">
        <f>'mol% to wt% Conversions'!B152</f>
        <v>0</v>
      </c>
      <c r="C220">
        <f t="shared" si="13"/>
        <v>0</v>
      </c>
      <c r="D220">
        <f>$D$34</f>
        <v>0</v>
      </c>
      <c r="E220">
        <f t="shared" si="15"/>
        <v>0</v>
      </c>
    </row>
    <row r="221" spans="1:5" x14ac:dyDescent="0.3">
      <c r="A221" t="s">
        <v>202</v>
      </c>
      <c r="B221">
        <f>'mol% to wt% Conversions'!B153</f>
        <v>0</v>
      </c>
      <c r="C221">
        <f t="shared" si="13"/>
        <v>0</v>
      </c>
      <c r="D221">
        <f>$D$35</f>
        <v>0</v>
      </c>
      <c r="E221">
        <f t="shared" si="15"/>
        <v>0</v>
      </c>
    </row>
    <row r="222" spans="1:5" x14ac:dyDescent="0.3">
      <c r="A222" s="41" t="s">
        <v>97</v>
      </c>
      <c r="B222" s="38">
        <f>SUM(B206:B221)</f>
        <v>99.995806451612907</v>
      </c>
      <c r="C222" s="38">
        <f>SUM(C206:C221)</f>
        <v>0.99995806451612912</v>
      </c>
      <c r="E222" s="65">
        <f>SUM(E206:E221)</f>
        <v>849.24517421519261</v>
      </c>
    </row>
    <row r="224" spans="1:5" x14ac:dyDescent="0.3">
      <c r="A224" s="66" t="s">
        <v>315</v>
      </c>
      <c r="C224" s="67" t="s">
        <v>316</v>
      </c>
      <c r="E224" s="67" t="s">
        <v>4</v>
      </c>
    </row>
    <row r="225" spans="1:5" x14ac:dyDescent="0.3">
      <c r="A225" s="41" t="s">
        <v>265</v>
      </c>
      <c r="E225" s="68">
        <f>E222</f>
        <v>849.24517421519261</v>
      </c>
    </row>
    <row r="226" spans="1:5" x14ac:dyDescent="0.3">
      <c r="A226" s="41" t="s">
        <v>317</v>
      </c>
      <c r="E226" s="68">
        <f>E225*$B$11</f>
        <v>29990.838553857266</v>
      </c>
    </row>
    <row r="227" spans="1:5" x14ac:dyDescent="0.3">
      <c r="A227" s="41" t="s">
        <v>318</v>
      </c>
      <c r="E227" s="68">
        <f>E225*$B$12</f>
        <v>7557.6875788932639</v>
      </c>
    </row>
    <row r="228" spans="1:5" x14ac:dyDescent="0.3">
      <c r="A228" s="41" t="s">
        <v>319</v>
      </c>
      <c r="E228" s="68">
        <f>E225*$B$13</f>
        <v>31.651367643000228</v>
      </c>
    </row>
    <row r="229" spans="1:5" x14ac:dyDescent="0.3">
      <c r="A229" s="67" t="s">
        <v>322</v>
      </c>
    </row>
    <row r="230" spans="1:5" x14ac:dyDescent="0.3">
      <c r="A230" s="41" t="s">
        <v>320</v>
      </c>
      <c r="E230" s="68">
        <f>'mol% to wt% Conversions'!E154</f>
        <v>14.064824456267708</v>
      </c>
    </row>
    <row r="231" spans="1:5" x14ac:dyDescent="0.3">
      <c r="A231" s="41" t="s">
        <v>311</v>
      </c>
      <c r="E231" s="68">
        <f>E225*379.5/E230</f>
        <v>22914.50878869975</v>
      </c>
    </row>
    <row r="232" spans="1:5" x14ac:dyDescent="0.3">
      <c r="A232" s="41" t="s">
        <v>321</v>
      </c>
      <c r="E232" s="68">
        <f>E231*$B$14</f>
        <v>12731.301083001581</v>
      </c>
    </row>
    <row r="233" spans="1:5" x14ac:dyDescent="0.3">
      <c r="A233" s="41" t="s">
        <v>55</v>
      </c>
      <c r="E233" s="68">
        <f>E231*$B$15</f>
        <v>53.299147442515618</v>
      </c>
    </row>
    <row r="236" spans="1:5" ht="15.6" x14ac:dyDescent="0.3">
      <c r="A236" s="85" t="s">
        <v>237</v>
      </c>
      <c r="B236" s="85"/>
      <c r="C236" s="85"/>
      <c r="D236" s="85"/>
      <c r="E236" s="85"/>
    </row>
    <row r="237" spans="1:5" x14ac:dyDescent="0.3">
      <c r="A237" s="64" t="s">
        <v>329</v>
      </c>
    </row>
    <row r="238" spans="1:5" x14ac:dyDescent="0.3">
      <c r="A238" s="61" t="s">
        <v>28</v>
      </c>
      <c r="B238" s="61" t="s">
        <v>221</v>
      </c>
      <c r="C238" s="61" t="s">
        <v>281</v>
      </c>
      <c r="D238" s="61" t="s">
        <v>265</v>
      </c>
      <c r="E238" s="62" t="s">
        <v>282</v>
      </c>
    </row>
    <row r="239" spans="1:5" x14ac:dyDescent="0.3">
      <c r="A239" t="s">
        <v>183</v>
      </c>
      <c r="B239">
        <f>'mol% to wt% Conversions'!B160</f>
        <v>77.191000000000031</v>
      </c>
      <c r="C239">
        <f t="shared" ref="C239:C254" si="16">B239/100</f>
        <v>0.77191000000000032</v>
      </c>
      <c r="D239">
        <f>$D$19</f>
        <v>275</v>
      </c>
      <c r="E239">
        <f t="shared" ref="E239:E244" si="17">C239*D239</f>
        <v>212.27525000000009</v>
      </c>
    </row>
    <row r="240" spans="1:5" x14ac:dyDescent="0.3">
      <c r="A240" t="s">
        <v>185</v>
      </c>
      <c r="B240">
        <f>'mol% to wt% Conversions'!B161</f>
        <v>4.1659999999999995</v>
      </c>
      <c r="C240">
        <f t="shared" si="16"/>
        <v>4.1659999999999996E-2</v>
      </c>
      <c r="D240">
        <f>$D$20</f>
        <v>911</v>
      </c>
      <c r="E240">
        <f t="shared" si="17"/>
        <v>37.952259999999995</v>
      </c>
    </row>
    <row r="241" spans="1:5" x14ac:dyDescent="0.3">
      <c r="A241" t="s">
        <v>187</v>
      </c>
      <c r="B241">
        <f>'mol% to wt% Conversions'!B162</f>
        <v>4.7240000000000002</v>
      </c>
      <c r="C241">
        <f t="shared" si="16"/>
        <v>4.7240000000000004E-2</v>
      </c>
      <c r="D241">
        <f>$D$21</f>
        <v>1622</v>
      </c>
      <c r="E241">
        <f t="shared" si="17"/>
        <v>76.623280000000008</v>
      </c>
    </row>
    <row r="242" spans="1:5" x14ac:dyDescent="0.3">
      <c r="A242" t="s">
        <v>189</v>
      </c>
      <c r="B242">
        <f>'mol% to wt% Conversions'!B163</f>
        <v>0</v>
      </c>
      <c r="C242">
        <f t="shared" si="16"/>
        <v>0</v>
      </c>
      <c r="D242">
        <f>$D$22</f>
        <v>1513</v>
      </c>
      <c r="E242">
        <f t="shared" si="17"/>
        <v>0</v>
      </c>
    </row>
    <row r="243" spans="1:5" x14ac:dyDescent="0.3">
      <c r="A243" t="s">
        <v>191</v>
      </c>
      <c r="B243">
        <f>'mol% to wt% Conversions'!B164</f>
        <v>9.9999999999999982</v>
      </c>
      <c r="C243">
        <f t="shared" si="16"/>
        <v>9.9999999999999978E-2</v>
      </c>
      <c r="D243">
        <f>$D$23</f>
        <v>2316</v>
      </c>
      <c r="E243">
        <f t="shared" si="17"/>
        <v>231.59999999999994</v>
      </c>
    </row>
    <row r="244" spans="1:5" x14ac:dyDescent="0.3">
      <c r="A244" t="s">
        <v>193</v>
      </c>
      <c r="B244">
        <f>'mol% to wt% Conversions'!B165</f>
        <v>0</v>
      </c>
      <c r="C244">
        <f t="shared" si="16"/>
        <v>0</v>
      </c>
      <c r="D244">
        <f>$D$24</f>
        <v>2185</v>
      </c>
      <c r="E244">
        <f t="shared" si="17"/>
        <v>0</v>
      </c>
    </row>
    <row r="245" spans="1:5" x14ac:dyDescent="0.3">
      <c r="A245" t="s">
        <v>196</v>
      </c>
      <c r="B245">
        <f>'mol% to wt% Conversions'!B166</f>
        <v>0.27899999999999986</v>
      </c>
      <c r="C245">
        <f t="shared" si="16"/>
        <v>2.7899999999999986E-3</v>
      </c>
      <c r="D245">
        <f>$D$25</f>
        <v>3012</v>
      </c>
      <c r="E245">
        <f t="shared" ref="E245:E254" si="18">C245*D245</f>
        <v>8.4034799999999965</v>
      </c>
    </row>
    <row r="246" spans="1:5" x14ac:dyDescent="0.3">
      <c r="A246" t="s">
        <v>325</v>
      </c>
      <c r="B246">
        <f>'mol% to wt% Conversions'!B167</f>
        <v>3.2659999999999987</v>
      </c>
      <c r="C246">
        <f t="shared" si="16"/>
        <v>3.2659999999999988E-2</v>
      </c>
      <c r="D246">
        <f>$D$26</f>
        <v>2999</v>
      </c>
      <c r="E246">
        <f t="shared" si="18"/>
        <v>97.947339999999969</v>
      </c>
    </row>
    <row r="247" spans="1:5" x14ac:dyDescent="0.3">
      <c r="A247" t="s">
        <v>210</v>
      </c>
      <c r="B247">
        <f>'mol% to wt% Conversions'!B168</f>
        <v>0</v>
      </c>
      <c r="C247">
        <f t="shared" si="16"/>
        <v>0</v>
      </c>
      <c r="D247">
        <f>$D$27</f>
        <v>2885</v>
      </c>
      <c r="E247">
        <f t="shared" si="18"/>
        <v>0</v>
      </c>
    </row>
    <row r="248" spans="1:5" x14ac:dyDescent="0.3">
      <c r="A248" t="s">
        <v>267</v>
      </c>
      <c r="B248">
        <f>'mol% to wt% Conversions'!B169</f>
        <v>0.34400000000000003</v>
      </c>
      <c r="C248">
        <f t="shared" si="16"/>
        <v>3.4400000000000003E-3</v>
      </c>
      <c r="D248">
        <f>$D$28</f>
        <v>3707</v>
      </c>
      <c r="E248">
        <f t="shared" si="18"/>
        <v>12.752080000000001</v>
      </c>
    </row>
    <row r="249" spans="1:5" x14ac:dyDescent="0.3">
      <c r="A249" t="s">
        <v>271</v>
      </c>
      <c r="B249">
        <f>'mol% to wt% Conversions'!B170</f>
        <v>0</v>
      </c>
      <c r="C249">
        <f t="shared" si="16"/>
        <v>0</v>
      </c>
      <c r="D249">
        <f>$D$30</f>
        <v>4404</v>
      </c>
      <c r="E249">
        <f t="shared" si="18"/>
        <v>0</v>
      </c>
    </row>
    <row r="250" spans="1:5" x14ac:dyDescent="0.3">
      <c r="A250" t="s">
        <v>74</v>
      </c>
      <c r="B250">
        <f>'mol% to wt% Conversions'!B171</f>
        <v>1.3999999999999999E-2</v>
      </c>
      <c r="C250">
        <f t="shared" si="16"/>
        <v>1.3999999999999999E-4</v>
      </c>
      <c r="D250">
        <f>$D$31</f>
        <v>3700</v>
      </c>
      <c r="E250">
        <f t="shared" si="18"/>
        <v>0.5179999999999999</v>
      </c>
    </row>
    <row r="251" spans="1:5" x14ac:dyDescent="0.3">
      <c r="A251" t="s">
        <v>215</v>
      </c>
      <c r="B251">
        <f>'mol% to wt% Conversions'!B172</f>
        <v>0</v>
      </c>
      <c r="C251">
        <f t="shared" si="16"/>
        <v>0</v>
      </c>
      <c r="D251">
        <f>$D$32</f>
        <v>596</v>
      </c>
      <c r="E251">
        <f t="shared" si="18"/>
        <v>0</v>
      </c>
    </row>
    <row r="252" spans="1:5" x14ac:dyDescent="0.3">
      <c r="A252" t="s">
        <v>199</v>
      </c>
      <c r="B252">
        <f>'mol% to wt% Conversions'!B173</f>
        <v>0</v>
      </c>
      <c r="C252">
        <f t="shared" si="16"/>
        <v>0</v>
      </c>
      <c r="D252">
        <f>$D$33</f>
        <v>322</v>
      </c>
      <c r="E252">
        <f t="shared" si="18"/>
        <v>0</v>
      </c>
    </row>
    <row r="253" spans="1:5" x14ac:dyDescent="0.3">
      <c r="A253" t="s">
        <v>200</v>
      </c>
      <c r="B253">
        <f>'mol% to wt% Conversions'!B174</f>
        <v>0</v>
      </c>
      <c r="C253">
        <f t="shared" si="16"/>
        <v>0</v>
      </c>
      <c r="D253">
        <f>$D$34</f>
        <v>0</v>
      </c>
      <c r="E253">
        <f t="shared" si="18"/>
        <v>0</v>
      </c>
    </row>
    <row r="254" spans="1:5" x14ac:dyDescent="0.3">
      <c r="A254" t="s">
        <v>202</v>
      </c>
      <c r="B254">
        <f>'mol% to wt% Conversions'!B175</f>
        <v>0</v>
      </c>
      <c r="C254">
        <f t="shared" si="16"/>
        <v>0</v>
      </c>
      <c r="D254">
        <f>$D$35</f>
        <v>0</v>
      </c>
      <c r="E254">
        <f t="shared" si="18"/>
        <v>0</v>
      </c>
    </row>
    <row r="255" spans="1:5" x14ac:dyDescent="0.3">
      <c r="A255" s="41" t="s">
        <v>97</v>
      </c>
      <c r="B255" s="38">
        <f>SUM(B239:B254)</f>
        <v>99.984000000000023</v>
      </c>
      <c r="C255" s="38">
        <f>SUM(C239:C254)</f>
        <v>0.99984000000000028</v>
      </c>
      <c r="E255" s="65">
        <f>SUM(E239:E254)</f>
        <v>678.07168999999988</v>
      </c>
    </row>
    <row r="257" spans="1:5" x14ac:dyDescent="0.3">
      <c r="A257" s="66" t="s">
        <v>315</v>
      </c>
      <c r="C257" s="67" t="s">
        <v>316</v>
      </c>
      <c r="E257" s="67" t="s">
        <v>4</v>
      </c>
    </row>
    <row r="258" spans="1:5" x14ac:dyDescent="0.3">
      <c r="A258" s="41" t="s">
        <v>265</v>
      </c>
      <c r="E258" s="68">
        <f>E255</f>
        <v>678.07168999999988</v>
      </c>
    </row>
    <row r="259" spans="1:5" x14ac:dyDescent="0.3">
      <c r="A259" s="41" t="s">
        <v>317</v>
      </c>
      <c r="E259" s="68">
        <f>E258*$B$11</f>
        <v>23945.898310842997</v>
      </c>
    </row>
    <row r="260" spans="1:5" x14ac:dyDescent="0.3">
      <c r="A260" s="41" t="s">
        <v>318</v>
      </c>
      <c r="E260" s="68">
        <f>E258*$B$12</f>
        <v>6034.3633908169986</v>
      </c>
    </row>
    <row r="261" spans="1:5" x14ac:dyDescent="0.3">
      <c r="A261" s="41" t="s">
        <v>319</v>
      </c>
      <c r="E261" s="68">
        <f>E258*$B$13</f>
        <v>25.271731886299992</v>
      </c>
    </row>
    <row r="262" spans="1:5" x14ac:dyDescent="0.3">
      <c r="A262" s="67" t="s">
        <v>322</v>
      </c>
    </row>
    <row r="263" spans="1:5" x14ac:dyDescent="0.3">
      <c r="A263" s="41" t="s">
        <v>320</v>
      </c>
      <c r="E263" s="68">
        <f>'mol% to wt% Conversions'!E176</f>
        <v>10.37508996</v>
      </c>
    </row>
    <row r="264" spans="1:5" x14ac:dyDescent="0.3">
      <c r="A264" s="41" t="s">
        <v>311</v>
      </c>
      <c r="E264" s="68">
        <f>E258*379.5/E263</f>
        <v>24802.503626195059</v>
      </c>
    </row>
    <row r="265" spans="1:5" x14ac:dyDescent="0.3">
      <c r="A265" s="41" t="s">
        <v>321</v>
      </c>
      <c r="E265" s="68">
        <f>E264*$B$14</f>
        <v>13780.271014713975</v>
      </c>
    </row>
    <row r="266" spans="1:5" x14ac:dyDescent="0.3">
      <c r="A266" s="41" t="s">
        <v>55</v>
      </c>
      <c r="E266" s="68">
        <f>E264*$B$15</f>
        <v>57.690623434529705</v>
      </c>
    </row>
    <row r="300" spans="1:5" ht="15.6" x14ac:dyDescent="0.3">
      <c r="A300" s="85" t="s">
        <v>348</v>
      </c>
      <c r="B300" s="85"/>
      <c r="C300" s="85"/>
      <c r="D300" s="85"/>
      <c r="E300" s="85"/>
    </row>
    <row r="301" spans="1:5" x14ac:dyDescent="0.3">
      <c r="A301" s="64" t="s">
        <v>327</v>
      </c>
    </row>
    <row r="302" spans="1:5" x14ac:dyDescent="0.3">
      <c r="A302" s="61" t="s">
        <v>28</v>
      </c>
      <c r="B302" s="61" t="s">
        <v>221</v>
      </c>
      <c r="C302" s="61" t="s">
        <v>281</v>
      </c>
      <c r="D302" s="61" t="s">
        <v>265</v>
      </c>
      <c r="E302" s="62" t="s">
        <v>282</v>
      </c>
    </row>
    <row r="303" spans="1:5" x14ac:dyDescent="0.3">
      <c r="A303" t="s">
        <v>183</v>
      </c>
      <c r="B303">
        <f>'mol% to wt% Conversions'!B245</f>
        <v>0</v>
      </c>
      <c r="C303">
        <f t="shared" ref="C303:C318" si="19">B303/100</f>
        <v>0</v>
      </c>
      <c r="D303">
        <f>$D$19</f>
        <v>275</v>
      </c>
      <c r="E303">
        <f t="shared" ref="E303:E308" si="20">C303*D303</f>
        <v>0</v>
      </c>
    </row>
    <row r="304" spans="1:5" x14ac:dyDescent="0.3">
      <c r="A304" t="s">
        <v>185</v>
      </c>
      <c r="B304">
        <f>'mol% to wt% Conversions'!B246</f>
        <v>0</v>
      </c>
      <c r="C304">
        <f t="shared" si="19"/>
        <v>0</v>
      </c>
      <c r="D304">
        <f>$D$20</f>
        <v>911</v>
      </c>
      <c r="E304">
        <f t="shared" si="20"/>
        <v>0</v>
      </c>
    </row>
    <row r="305" spans="1:5" x14ac:dyDescent="0.3">
      <c r="A305" t="s">
        <v>187</v>
      </c>
      <c r="B305">
        <f>'mol% to wt% Conversions'!B247</f>
        <v>0</v>
      </c>
      <c r="C305">
        <f t="shared" si="19"/>
        <v>0</v>
      </c>
      <c r="D305">
        <f>$D$21</f>
        <v>1622</v>
      </c>
      <c r="E305">
        <f t="shared" si="20"/>
        <v>0</v>
      </c>
    </row>
    <row r="306" spans="1:5" x14ac:dyDescent="0.3">
      <c r="A306" t="s">
        <v>189</v>
      </c>
      <c r="B306">
        <f>'mol% to wt% Conversions'!B248</f>
        <v>0</v>
      </c>
      <c r="C306">
        <f t="shared" si="19"/>
        <v>0</v>
      </c>
      <c r="D306">
        <f>$D$22</f>
        <v>1513</v>
      </c>
      <c r="E306">
        <f t="shared" si="20"/>
        <v>0</v>
      </c>
    </row>
    <row r="307" spans="1:5" x14ac:dyDescent="0.3">
      <c r="A307" t="s">
        <v>191</v>
      </c>
      <c r="B307">
        <v>25</v>
      </c>
      <c r="C307">
        <f t="shared" si="19"/>
        <v>0.25</v>
      </c>
      <c r="D307">
        <f>$D$23</f>
        <v>2316</v>
      </c>
      <c r="E307">
        <f t="shared" si="20"/>
        <v>579</v>
      </c>
    </row>
    <row r="308" spans="1:5" x14ac:dyDescent="0.3">
      <c r="A308" t="s">
        <v>193</v>
      </c>
      <c r="B308">
        <v>25</v>
      </c>
      <c r="C308">
        <f t="shared" si="19"/>
        <v>0.25</v>
      </c>
      <c r="D308">
        <f>$D$24</f>
        <v>2185</v>
      </c>
      <c r="E308">
        <f t="shared" si="20"/>
        <v>546.25</v>
      </c>
    </row>
    <row r="309" spans="1:5" x14ac:dyDescent="0.3">
      <c r="A309" t="s">
        <v>196</v>
      </c>
      <c r="B309">
        <v>25</v>
      </c>
      <c r="C309">
        <f t="shared" si="19"/>
        <v>0.25</v>
      </c>
      <c r="D309">
        <f>$D$25</f>
        <v>3012</v>
      </c>
      <c r="E309">
        <f t="shared" ref="E309:E318" si="21">C309*D309</f>
        <v>753</v>
      </c>
    </row>
    <row r="310" spans="1:5" x14ac:dyDescent="0.3">
      <c r="A310" t="s">
        <v>325</v>
      </c>
      <c r="B310">
        <v>25</v>
      </c>
      <c r="C310">
        <f t="shared" si="19"/>
        <v>0.25</v>
      </c>
      <c r="D310">
        <f>$D$26</f>
        <v>2999</v>
      </c>
      <c r="E310">
        <f t="shared" si="21"/>
        <v>749.75</v>
      </c>
    </row>
    <row r="311" spans="1:5" x14ac:dyDescent="0.3">
      <c r="A311" t="s">
        <v>210</v>
      </c>
      <c r="B311">
        <f>'mol% to wt% Conversions'!B253</f>
        <v>0</v>
      </c>
      <c r="C311">
        <f t="shared" si="19"/>
        <v>0</v>
      </c>
      <c r="D311">
        <f>$D$27</f>
        <v>2885</v>
      </c>
      <c r="E311">
        <f t="shared" si="21"/>
        <v>0</v>
      </c>
    </row>
    <row r="312" spans="1:5" x14ac:dyDescent="0.3">
      <c r="A312" t="s">
        <v>267</v>
      </c>
      <c r="B312">
        <f>'mol% to wt% Conversions'!B254</f>
        <v>0</v>
      </c>
      <c r="C312">
        <f t="shared" si="19"/>
        <v>0</v>
      </c>
      <c r="D312">
        <f>$D$28</f>
        <v>3707</v>
      </c>
      <c r="E312">
        <f t="shared" si="21"/>
        <v>0</v>
      </c>
    </row>
    <row r="313" spans="1:5" x14ac:dyDescent="0.3">
      <c r="A313" t="s">
        <v>271</v>
      </c>
      <c r="B313">
        <f>'mol% to wt% Conversions'!B255</f>
        <v>0</v>
      </c>
      <c r="C313">
        <f t="shared" si="19"/>
        <v>0</v>
      </c>
      <c r="D313">
        <f>$D$30</f>
        <v>4404</v>
      </c>
      <c r="E313">
        <f t="shared" si="21"/>
        <v>0</v>
      </c>
    </row>
    <row r="314" spans="1:5" x14ac:dyDescent="0.3">
      <c r="A314" t="s">
        <v>74</v>
      </c>
      <c r="B314">
        <f>'mol% to wt% Conversions'!B256</f>
        <v>0</v>
      </c>
      <c r="C314">
        <f t="shared" si="19"/>
        <v>0</v>
      </c>
      <c r="D314">
        <f>$D$31</f>
        <v>3700</v>
      </c>
      <c r="E314">
        <f t="shared" si="21"/>
        <v>0</v>
      </c>
    </row>
    <row r="315" spans="1:5" x14ac:dyDescent="0.3">
      <c r="A315" t="s">
        <v>215</v>
      </c>
      <c r="B315">
        <f>'mol% to wt% Conversions'!B257</f>
        <v>0</v>
      </c>
      <c r="C315">
        <f t="shared" si="19"/>
        <v>0</v>
      </c>
      <c r="D315">
        <f>$D$32</f>
        <v>596</v>
      </c>
      <c r="E315">
        <f t="shared" si="21"/>
        <v>0</v>
      </c>
    </row>
    <row r="316" spans="1:5" x14ac:dyDescent="0.3">
      <c r="A316" t="s">
        <v>199</v>
      </c>
      <c r="B316">
        <f>'mol% to wt% Conversions'!B258</f>
        <v>0</v>
      </c>
      <c r="C316">
        <f t="shared" si="19"/>
        <v>0</v>
      </c>
      <c r="D316">
        <f>$D$33</f>
        <v>322</v>
      </c>
      <c r="E316">
        <f t="shared" si="21"/>
        <v>0</v>
      </c>
    </row>
    <row r="317" spans="1:5" x14ac:dyDescent="0.3">
      <c r="A317" t="s">
        <v>200</v>
      </c>
      <c r="B317">
        <f>'mol% to wt% Conversions'!B259</f>
        <v>0</v>
      </c>
      <c r="C317">
        <f t="shared" si="19"/>
        <v>0</v>
      </c>
      <c r="D317">
        <f>$D$34</f>
        <v>0</v>
      </c>
      <c r="E317">
        <f t="shared" si="21"/>
        <v>0</v>
      </c>
    </row>
    <row r="318" spans="1:5" x14ac:dyDescent="0.3">
      <c r="A318" t="s">
        <v>202</v>
      </c>
      <c r="B318">
        <f>'mol% to wt% Conversions'!B260</f>
        <v>100</v>
      </c>
      <c r="C318">
        <f t="shared" si="19"/>
        <v>1</v>
      </c>
      <c r="D318">
        <f>$D$35</f>
        <v>0</v>
      </c>
      <c r="E318">
        <f t="shared" si="21"/>
        <v>0</v>
      </c>
    </row>
    <row r="319" spans="1:5" x14ac:dyDescent="0.3">
      <c r="A319" s="41" t="s">
        <v>97</v>
      </c>
      <c r="B319" s="38">
        <f>SUM(B303:B318)</f>
        <v>200</v>
      </c>
      <c r="C319" s="38">
        <f>SUM(C303:C318)</f>
        <v>2</v>
      </c>
      <c r="E319" s="65">
        <f>SUM(E303:E318)</f>
        <v>2628</v>
      </c>
    </row>
    <row r="321" spans="1:8" x14ac:dyDescent="0.3">
      <c r="A321" s="66" t="s">
        <v>315</v>
      </c>
      <c r="C321" s="67" t="s">
        <v>316</v>
      </c>
      <c r="E321" s="67" t="s">
        <v>4</v>
      </c>
    </row>
    <row r="322" spans="1:8" x14ac:dyDescent="0.3">
      <c r="A322" s="41" t="s">
        <v>265</v>
      </c>
      <c r="E322" s="68">
        <f>E319</f>
        <v>2628</v>
      </c>
    </row>
    <row r="323" spans="1:8" x14ac:dyDescent="0.3">
      <c r="A323" s="41" t="s">
        <v>317</v>
      </c>
      <c r="E323" s="68">
        <f>E322*$B$11</f>
        <v>92807.031600000002</v>
      </c>
    </row>
    <row r="324" spans="1:8" x14ac:dyDescent="0.3">
      <c r="A324" s="41" t="s">
        <v>318</v>
      </c>
      <c r="E324" s="68">
        <f>E322*$B$12</f>
        <v>23387.360400000001</v>
      </c>
    </row>
    <row r="325" spans="1:8" x14ac:dyDescent="0.3">
      <c r="A325" s="41" t="s">
        <v>319</v>
      </c>
      <c r="E325" s="68">
        <f>E322*$B$13</f>
        <v>97.94556</v>
      </c>
    </row>
    <row r="326" spans="1:8" x14ac:dyDescent="0.3">
      <c r="A326" s="67" t="s">
        <v>322</v>
      </c>
    </row>
    <row r="327" spans="1:8" x14ac:dyDescent="0.3">
      <c r="A327" s="41" t="s">
        <v>320</v>
      </c>
      <c r="E327" s="68">
        <f>'mol% to wt% Conversions'!E237</f>
        <v>50.605249999999998</v>
      </c>
      <c r="F327" s="35" t="s">
        <v>349</v>
      </c>
      <c r="G327" t="s">
        <v>350</v>
      </c>
      <c r="H327" t="s">
        <v>351</v>
      </c>
    </row>
    <row r="328" spans="1:8" x14ac:dyDescent="0.3">
      <c r="A328" s="41" t="s">
        <v>311</v>
      </c>
      <c r="E328" s="68">
        <f>E322*379.5/E327</f>
        <v>19707.955202276444</v>
      </c>
      <c r="F328" s="35">
        <f>E328/0.454</f>
        <v>43409.592956556044</v>
      </c>
      <c r="G328">
        <f>F328*1000</f>
        <v>43409592.956556045</v>
      </c>
      <c r="H328">
        <f>G328/1000000</f>
        <v>43.409592956556047</v>
      </c>
    </row>
    <row r="329" spans="1:8" x14ac:dyDescent="0.3">
      <c r="A329" s="41" t="s">
        <v>321</v>
      </c>
      <c r="E329" s="68">
        <f>E328*$B$14</f>
        <v>10949.739910384791</v>
      </c>
    </row>
    <row r="330" spans="1:8" x14ac:dyDescent="0.3">
      <c r="A330" s="41" t="s">
        <v>55</v>
      </c>
      <c r="E330" s="68">
        <f>E328*$B$15</f>
        <v>45.840703800495007</v>
      </c>
    </row>
    <row r="334" spans="1:8" ht="15.6" x14ac:dyDescent="0.3">
      <c r="A334" s="85" t="s">
        <v>353</v>
      </c>
      <c r="B334" s="85"/>
      <c r="C334" s="85"/>
      <c r="D334" s="85"/>
      <c r="E334" s="85"/>
    </row>
    <row r="335" spans="1:8" x14ac:dyDescent="0.3">
      <c r="A335" s="64" t="s">
        <v>327</v>
      </c>
    </row>
    <row r="336" spans="1:8" x14ac:dyDescent="0.3">
      <c r="A336" s="61" t="s">
        <v>28</v>
      </c>
      <c r="B336" s="61" t="s">
        <v>221</v>
      </c>
      <c r="C336" s="61" t="s">
        <v>281</v>
      </c>
      <c r="D336" s="61" t="s">
        <v>265</v>
      </c>
      <c r="E336" s="62" t="s">
        <v>282</v>
      </c>
    </row>
    <row r="337" spans="1:5" x14ac:dyDescent="0.3">
      <c r="A337" t="s">
        <v>183</v>
      </c>
      <c r="B337">
        <v>100</v>
      </c>
      <c r="C337">
        <f t="shared" ref="C337:C352" si="22">B337/100</f>
        <v>1</v>
      </c>
      <c r="D337">
        <f>$D$19</f>
        <v>275</v>
      </c>
      <c r="E337">
        <f t="shared" ref="E337:E342" si="23">C337*D337</f>
        <v>275</v>
      </c>
    </row>
    <row r="338" spans="1:5" x14ac:dyDescent="0.3">
      <c r="A338" t="s">
        <v>185</v>
      </c>
      <c r="B338">
        <v>0</v>
      </c>
      <c r="C338">
        <f t="shared" si="22"/>
        <v>0</v>
      </c>
      <c r="D338">
        <f>$D$20</f>
        <v>911</v>
      </c>
      <c r="E338">
        <f t="shared" si="23"/>
        <v>0</v>
      </c>
    </row>
    <row r="339" spans="1:5" x14ac:dyDescent="0.3">
      <c r="A339" t="s">
        <v>187</v>
      </c>
      <c r="B339">
        <v>0</v>
      </c>
      <c r="C339">
        <f t="shared" si="22"/>
        <v>0</v>
      </c>
      <c r="D339">
        <f>$D$21</f>
        <v>1622</v>
      </c>
      <c r="E339">
        <f t="shared" si="23"/>
        <v>0</v>
      </c>
    </row>
    <row r="340" spans="1:5" x14ac:dyDescent="0.3">
      <c r="A340" t="s">
        <v>189</v>
      </c>
      <c r="B340">
        <v>0</v>
      </c>
      <c r="C340">
        <f t="shared" si="22"/>
        <v>0</v>
      </c>
      <c r="D340">
        <f>$D$22</f>
        <v>1513</v>
      </c>
      <c r="E340">
        <f t="shared" si="23"/>
        <v>0</v>
      </c>
    </row>
    <row r="341" spans="1:5" x14ac:dyDescent="0.3">
      <c r="A341" t="s">
        <v>191</v>
      </c>
      <c r="B341">
        <v>0</v>
      </c>
      <c r="C341">
        <f t="shared" si="22"/>
        <v>0</v>
      </c>
      <c r="D341">
        <f>$D$23</f>
        <v>2316</v>
      </c>
      <c r="E341">
        <f t="shared" si="23"/>
        <v>0</v>
      </c>
    </row>
    <row r="342" spans="1:5" x14ac:dyDescent="0.3">
      <c r="A342" t="s">
        <v>193</v>
      </c>
      <c r="B342">
        <v>0</v>
      </c>
      <c r="C342">
        <f t="shared" si="22"/>
        <v>0</v>
      </c>
      <c r="D342">
        <f>$D$24</f>
        <v>2185</v>
      </c>
      <c r="E342">
        <f t="shared" si="23"/>
        <v>0</v>
      </c>
    </row>
    <row r="343" spans="1:5" x14ac:dyDescent="0.3">
      <c r="A343" t="s">
        <v>196</v>
      </c>
      <c r="B343">
        <v>0</v>
      </c>
      <c r="C343">
        <f t="shared" si="22"/>
        <v>0</v>
      </c>
      <c r="D343">
        <f>$D$25</f>
        <v>3012</v>
      </c>
      <c r="E343">
        <f t="shared" ref="E343:E352" si="24">C343*D343</f>
        <v>0</v>
      </c>
    </row>
    <row r="344" spans="1:5" x14ac:dyDescent="0.3">
      <c r="A344" t="s">
        <v>325</v>
      </c>
      <c r="B344">
        <v>0</v>
      </c>
      <c r="C344">
        <f t="shared" si="22"/>
        <v>0</v>
      </c>
      <c r="D344">
        <f>$D$26</f>
        <v>2999</v>
      </c>
      <c r="E344">
        <f t="shared" si="24"/>
        <v>0</v>
      </c>
    </row>
    <row r="345" spans="1:5" x14ac:dyDescent="0.3">
      <c r="A345" t="s">
        <v>210</v>
      </c>
      <c r="B345">
        <v>0</v>
      </c>
      <c r="C345">
        <f t="shared" si="22"/>
        <v>0</v>
      </c>
      <c r="D345">
        <f>$D$27</f>
        <v>2885</v>
      </c>
      <c r="E345">
        <f t="shared" si="24"/>
        <v>0</v>
      </c>
    </row>
    <row r="346" spans="1:5" x14ac:dyDescent="0.3">
      <c r="A346" t="s">
        <v>267</v>
      </c>
      <c r="B346">
        <v>0</v>
      </c>
      <c r="C346">
        <f t="shared" si="22"/>
        <v>0</v>
      </c>
      <c r="D346">
        <f>$D$28</f>
        <v>3707</v>
      </c>
      <c r="E346">
        <f t="shared" si="24"/>
        <v>0</v>
      </c>
    </row>
    <row r="347" spans="1:5" x14ac:dyDescent="0.3">
      <c r="A347" t="s">
        <v>271</v>
      </c>
      <c r="B347">
        <f>'mol% to wt% Conversions'!B289</f>
        <v>0</v>
      </c>
      <c r="C347">
        <f t="shared" si="22"/>
        <v>0</v>
      </c>
      <c r="D347">
        <f>$D$30</f>
        <v>4404</v>
      </c>
      <c r="E347">
        <f t="shared" si="24"/>
        <v>0</v>
      </c>
    </row>
    <row r="348" spans="1:5" x14ac:dyDescent="0.3">
      <c r="A348" t="s">
        <v>74</v>
      </c>
      <c r="B348">
        <f>'mol% to wt% Conversions'!B290</f>
        <v>0</v>
      </c>
      <c r="C348">
        <f t="shared" si="22"/>
        <v>0</v>
      </c>
      <c r="D348">
        <f>$D$31</f>
        <v>3700</v>
      </c>
      <c r="E348">
        <f t="shared" si="24"/>
        <v>0</v>
      </c>
    </row>
    <row r="349" spans="1:5" x14ac:dyDescent="0.3">
      <c r="A349" t="s">
        <v>215</v>
      </c>
      <c r="B349">
        <f>'mol% to wt% Conversions'!B291</f>
        <v>0</v>
      </c>
      <c r="C349">
        <f t="shared" si="22"/>
        <v>0</v>
      </c>
      <c r="D349">
        <f>$D$32</f>
        <v>596</v>
      </c>
      <c r="E349">
        <f t="shared" si="24"/>
        <v>0</v>
      </c>
    </row>
    <row r="350" spans="1:5" x14ac:dyDescent="0.3">
      <c r="A350" t="s">
        <v>199</v>
      </c>
      <c r="B350">
        <f>'mol% to wt% Conversions'!B292</f>
        <v>0</v>
      </c>
      <c r="C350">
        <f t="shared" si="22"/>
        <v>0</v>
      </c>
      <c r="D350">
        <f>$D$33</f>
        <v>322</v>
      </c>
      <c r="E350">
        <f t="shared" si="24"/>
        <v>0</v>
      </c>
    </row>
    <row r="351" spans="1:5" x14ac:dyDescent="0.3">
      <c r="A351" t="s">
        <v>200</v>
      </c>
      <c r="B351">
        <f>'mol% to wt% Conversions'!B293</f>
        <v>0</v>
      </c>
      <c r="C351">
        <f t="shared" si="22"/>
        <v>0</v>
      </c>
      <c r="D351">
        <f>$D$34</f>
        <v>0</v>
      </c>
      <c r="E351">
        <f t="shared" si="24"/>
        <v>0</v>
      </c>
    </row>
    <row r="352" spans="1:5" x14ac:dyDescent="0.3">
      <c r="A352" t="s">
        <v>202</v>
      </c>
      <c r="B352">
        <f>'mol% to wt% Conversions'!B294</f>
        <v>0</v>
      </c>
      <c r="C352">
        <f t="shared" si="22"/>
        <v>0</v>
      </c>
      <c r="D352">
        <f>$D$35</f>
        <v>0</v>
      </c>
      <c r="E352">
        <f t="shared" si="24"/>
        <v>0</v>
      </c>
    </row>
    <row r="353" spans="1:8" x14ac:dyDescent="0.3">
      <c r="A353" s="41" t="s">
        <v>97</v>
      </c>
      <c r="B353" s="38">
        <f>SUM(B337:B352)</f>
        <v>100</v>
      </c>
      <c r="C353" s="38">
        <f>SUM(C337:C352)</f>
        <v>1</v>
      </c>
      <c r="E353" s="65">
        <f>SUM(E337:E352)</f>
        <v>275</v>
      </c>
    </row>
    <row r="355" spans="1:8" x14ac:dyDescent="0.3">
      <c r="A355" s="66" t="s">
        <v>315</v>
      </c>
      <c r="C355" s="67" t="s">
        <v>316</v>
      </c>
      <c r="E355" s="67" t="s">
        <v>4</v>
      </c>
    </row>
    <row r="356" spans="1:8" x14ac:dyDescent="0.3">
      <c r="A356" s="41" t="s">
        <v>265</v>
      </c>
      <c r="E356" s="68">
        <f>E353</f>
        <v>275</v>
      </c>
    </row>
    <row r="357" spans="1:8" x14ac:dyDescent="0.3">
      <c r="A357" s="41" t="s">
        <v>317</v>
      </c>
      <c r="E357" s="68">
        <f>E356*$B$11</f>
        <v>9711.5425000000014</v>
      </c>
    </row>
    <row r="358" spans="1:8" x14ac:dyDescent="0.3">
      <c r="A358" s="41" t="s">
        <v>318</v>
      </c>
      <c r="E358" s="68">
        <f>E356*$B$12</f>
        <v>2447.3074999999999</v>
      </c>
    </row>
    <row r="359" spans="1:8" x14ac:dyDescent="0.3">
      <c r="A359" s="41" t="s">
        <v>319</v>
      </c>
      <c r="E359" s="68">
        <f>E356*$B$13</f>
        <v>10.24925</v>
      </c>
    </row>
    <row r="360" spans="1:8" x14ac:dyDescent="0.3">
      <c r="A360" s="67" t="s">
        <v>322</v>
      </c>
    </row>
    <row r="361" spans="1:8" x14ac:dyDescent="0.3">
      <c r="A361" s="41" t="s">
        <v>320</v>
      </c>
      <c r="E361" s="68">
        <f>'mol% to wt% Conversions'!E260</f>
        <v>2.016</v>
      </c>
      <c r="F361" s="35" t="s">
        <v>349</v>
      </c>
      <c r="G361" t="s">
        <v>350</v>
      </c>
      <c r="H361" t="s">
        <v>351</v>
      </c>
    </row>
    <row r="362" spans="1:8" x14ac:dyDescent="0.3">
      <c r="A362" s="41" t="s">
        <v>311</v>
      </c>
      <c r="E362" s="68">
        <f>E356*379.5/E361</f>
        <v>51767.113095238092</v>
      </c>
      <c r="F362" s="35">
        <f>E362/0.454</f>
        <v>114024.47818334382</v>
      </c>
      <c r="G362">
        <f>F362*1000</f>
        <v>114024478.18334381</v>
      </c>
      <c r="H362">
        <f>G362/1000000</f>
        <v>114.02447818334382</v>
      </c>
    </row>
    <row r="363" spans="1:8" x14ac:dyDescent="0.3">
      <c r="A363" s="41" t="s">
        <v>321</v>
      </c>
      <c r="E363" s="68">
        <f>E362*$B$14</f>
        <v>28761.808035714283</v>
      </c>
    </row>
    <row r="364" spans="1:8" x14ac:dyDescent="0.3">
      <c r="A364" s="41" t="s">
        <v>55</v>
      </c>
      <c r="E364" s="68">
        <f>E362*$B$15</f>
        <v>120.41030505952379</v>
      </c>
    </row>
    <row r="368" spans="1:8" ht="15.6" x14ac:dyDescent="0.3">
      <c r="A368" s="85" t="s">
        <v>357</v>
      </c>
      <c r="B368" s="85"/>
      <c r="C368" s="85"/>
      <c r="D368" s="85"/>
      <c r="E368" s="85"/>
    </row>
    <row r="369" spans="1:5" x14ac:dyDescent="0.3">
      <c r="A369" s="64" t="s">
        <v>327</v>
      </c>
    </row>
    <row r="370" spans="1:5" x14ac:dyDescent="0.3">
      <c r="A370" s="61" t="s">
        <v>28</v>
      </c>
      <c r="B370" s="61" t="s">
        <v>221</v>
      </c>
      <c r="C370" s="61" t="s">
        <v>281</v>
      </c>
      <c r="D370" s="61" t="s">
        <v>265</v>
      </c>
      <c r="E370" s="62" t="s">
        <v>282</v>
      </c>
    </row>
    <row r="371" spans="1:5" x14ac:dyDescent="0.3">
      <c r="A371" t="s">
        <v>183</v>
      </c>
      <c r="B371">
        <v>0</v>
      </c>
      <c r="C371">
        <f t="shared" ref="C371:C386" si="25">B371/100</f>
        <v>0</v>
      </c>
      <c r="D371">
        <f>$D$19</f>
        <v>275</v>
      </c>
      <c r="E371">
        <f t="shared" ref="E371:E376" si="26">C371*D371</f>
        <v>0</v>
      </c>
    </row>
    <row r="372" spans="1:5" x14ac:dyDescent="0.3">
      <c r="A372" t="s">
        <v>185</v>
      </c>
      <c r="B372">
        <v>0</v>
      </c>
      <c r="C372">
        <f t="shared" si="25"/>
        <v>0</v>
      </c>
      <c r="D372">
        <f>$D$20</f>
        <v>911</v>
      </c>
      <c r="E372">
        <f t="shared" si="26"/>
        <v>0</v>
      </c>
    </row>
    <row r="373" spans="1:5" x14ac:dyDescent="0.3">
      <c r="A373" t="s">
        <v>187</v>
      </c>
      <c r="B373">
        <v>0</v>
      </c>
      <c r="C373">
        <f t="shared" si="25"/>
        <v>0</v>
      </c>
      <c r="D373">
        <f>$D$21</f>
        <v>1622</v>
      </c>
      <c r="E373">
        <f t="shared" si="26"/>
        <v>0</v>
      </c>
    </row>
    <row r="374" spans="1:5" x14ac:dyDescent="0.3">
      <c r="A374" t="s">
        <v>189</v>
      </c>
      <c r="B374">
        <v>0</v>
      </c>
      <c r="C374">
        <f t="shared" si="25"/>
        <v>0</v>
      </c>
      <c r="D374">
        <f>$D$22</f>
        <v>1513</v>
      </c>
      <c r="E374">
        <f t="shared" si="26"/>
        <v>0</v>
      </c>
    </row>
    <row r="375" spans="1:5" x14ac:dyDescent="0.3">
      <c r="A375" t="s">
        <v>191</v>
      </c>
      <c r="B375">
        <v>0</v>
      </c>
      <c r="C375">
        <f t="shared" si="25"/>
        <v>0</v>
      </c>
      <c r="D375">
        <f>$D$23</f>
        <v>2316</v>
      </c>
      <c r="E375">
        <f t="shared" si="26"/>
        <v>0</v>
      </c>
    </row>
    <row r="376" spans="1:5" x14ac:dyDescent="0.3">
      <c r="A376" t="s">
        <v>193</v>
      </c>
      <c r="B376">
        <v>0</v>
      </c>
      <c r="C376">
        <f t="shared" si="25"/>
        <v>0</v>
      </c>
      <c r="D376">
        <f>$D$24</f>
        <v>2185</v>
      </c>
      <c r="E376">
        <f t="shared" si="26"/>
        <v>0</v>
      </c>
    </row>
    <row r="377" spans="1:5" x14ac:dyDescent="0.3">
      <c r="A377" t="s">
        <v>196</v>
      </c>
      <c r="B377">
        <v>0</v>
      </c>
      <c r="C377">
        <f t="shared" si="25"/>
        <v>0</v>
      </c>
      <c r="D377">
        <f>$D$25</f>
        <v>3012</v>
      </c>
      <c r="E377">
        <f t="shared" ref="E377:E386" si="27">C377*D377</f>
        <v>0</v>
      </c>
    </row>
    <row r="378" spans="1:5" x14ac:dyDescent="0.3">
      <c r="A378" t="s">
        <v>325</v>
      </c>
      <c r="B378">
        <v>0</v>
      </c>
      <c r="C378">
        <f t="shared" si="25"/>
        <v>0</v>
      </c>
      <c r="D378">
        <f>$D$26</f>
        <v>2999</v>
      </c>
      <c r="E378">
        <f t="shared" si="27"/>
        <v>0</v>
      </c>
    </row>
    <row r="379" spans="1:5" x14ac:dyDescent="0.3">
      <c r="A379" t="s">
        <v>210</v>
      </c>
      <c r="B379">
        <v>0</v>
      </c>
      <c r="C379">
        <f t="shared" si="25"/>
        <v>0</v>
      </c>
      <c r="D379">
        <f>$D$27</f>
        <v>2885</v>
      </c>
      <c r="E379">
        <f t="shared" si="27"/>
        <v>0</v>
      </c>
    </row>
    <row r="380" spans="1:5" x14ac:dyDescent="0.3">
      <c r="A380" t="s">
        <v>267</v>
      </c>
      <c r="B380">
        <v>33.332999999999998</v>
      </c>
      <c r="C380">
        <f t="shared" si="25"/>
        <v>0.33332999999999996</v>
      </c>
      <c r="D380">
        <f>$D$28</f>
        <v>3707</v>
      </c>
      <c r="E380">
        <f t="shared" si="27"/>
        <v>1235.6543099999999</v>
      </c>
    </row>
    <row r="381" spans="1:5" x14ac:dyDescent="0.3">
      <c r="A381" t="s">
        <v>271</v>
      </c>
      <c r="B381">
        <v>33.332999999999998</v>
      </c>
      <c r="C381">
        <f t="shared" si="25"/>
        <v>0.33332999999999996</v>
      </c>
      <c r="D381">
        <f>$D$30</f>
        <v>4404</v>
      </c>
      <c r="E381">
        <f t="shared" si="27"/>
        <v>1467.9853199999998</v>
      </c>
    </row>
    <row r="382" spans="1:5" x14ac:dyDescent="0.3">
      <c r="A382" t="s">
        <v>74</v>
      </c>
      <c r="B382">
        <v>33.332999999999998</v>
      </c>
      <c r="C382">
        <f t="shared" si="25"/>
        <v>0.33332999999999996</v>
      </c>
      <c r="D382">
        <f>$D$31</f>
        <v>3700</v>
      </c>
      <c r="E382">
        <f t="shared" si="27"/>
        <v>1233.3209999999999</v>
      </c>
    </row>
    <row r="383" spans="1:5" x14ac:dyDescent="0.3">
      <c r="A383" t="s">
        <v>215</v>
      </c>
      <c r="B383">
        <f>'mol% to wt% Conversions'!B325</f>
        <v>0</v>
      </c>
      <c r="C383">
        <f t="shared" si="25"/>
        <v>0</v>
      </c>
      <c r="D383">
        <f>$D$32</f>
        <v>596</v>
      </c>
      <c r="E383">
        <f t="shared" si="27"/>
        <v>0</v>
      </c>
    </row>
    <row r="384" spans="1:5" x14ac:dyDescent="0.3">
      <c r="A384" t="s">
        <v>199</v>
      </c>
      <c r="B384">
        <f>'mol% to wt% Conversions'!B326</f>
        <v>0</v>
      </c>
      <c r="C384">
        <f t="shared" si="25"/>
        <v>0</v>
      </c>
      <c r="D384">
        <f>$D$33</f>
        <v>322</v>
      </c>
      <c r="E384">
        <f t="shared" si="27"/>
        <v>0</v>
      </c>
    </row>
    <row r="385" spans="1:8" x14ac:dyDescent="0.3">
      <c r="A385" t="s">
        <v>200</v>
      </c>
      <c r="B385">
        <f>'mol% to wt% Conversions'!B327</f>
        <v>0</v>
      </c>
      <c r="C385">
        <f t="shared" si="25"/>
        <v>0</v>
      </c>
      <c r="D385">
        <f>$D$34</f>
        <v>0</v>
      </c>
      <c r="E385">
        <f t="shared" si="27"/>
        <v>0</v>
      </c>
    </row>
    <row r="386" spans="1:8" x14ac:dyDescent="0.3">
      <c r="A386" t="s">
        <v>202</v>
      </c>
      <c r="B386">
        <f>'mol% to wt% Conversions'!B328</f>
        <v>0</v>
      </c>
      <c r="C386">
        <f t="shared" si="25"/>
        <v>0</v>
      </c>
      <c r="D386">
        <f>$D$35</f>
        <v>0</v>
      </c>
      <c r="E386">
        <f t="shared" si="27"/>
        <v>0</v>
      </c>
    </row>
    <row r="387" spans="1:8" x14ac:dyDescent="0.3">
      <c r="A387" s="41" t="s">
        <v>97</v>
      </c>
      <c r="B387" s="38">
        <f>SUM(B371:B386)</f>
        <v>99.998999999999995</v>
      </c>
      <c r="C387" s="38">
        <f>SUM(C371:C386)</f>
        <v>0.99998999999999993</v>
      </c>
      <c r="E387" s="65">
        <f>SUM(E371:E386)</f>
        <v>3936.9606299999996</v>
      </c>
    </row>
    <row r="389" spans="1:8" x14ac:dyDescent="0.3">
      <c r="A389" s="66" t="s">
        <v>315</v>
      </c>
      <c r="C389" s="67" t="s">
        <v>316</v>
      </c>
      <c r="E389" s="67" t="s">
        <v>4</v>
      </c>
    </row>
    <row r="390" spans="1:8" x14ac:dyDescent="0.3">
      <c r="A390" s="41" t="s">
        <v>265</v>
      </c>
      <c r="E390" s="68">
        <f>E387</f>
        <v>3936.9606299999996</v>
      </c>
    </row>
    <row r="391" spans="1:8" x14ac:dyDescent="0.3">
      <c r="A391" s="41" t="s">
        <v>317</v>
      </c>
      <c r="E391" s="68">
        <f>E390*$B$11</f>
        <v>139032.583560261</v>
      </c>
    </row>
    <row r="392" spans="1:8" x14ac:dyDescent="0.3">
      <c r="A392" s="41" t="s">
        <v>318</v>
      </c>
      <c r="E392" s="68">
        <f>E390*$B$12</f>
        <v>35036.193734558998</v>
      </c>
    </row>
    <row r="393" spans="1:8" x14ac:dyDescent="0.3">
      <c r="A393" s="41" t="s">
        <v>319</v>
      </c>
      <c r="E393" s="68">
        <f>E390*$B$13</f>
        <v>146.73052268009997</v>
      </c>
    </row>
    <row r="394" spans="1:8" x14ac:dyDescent="0.3">
      <c r="A394" s="67" t="s">
        <v>322</v>
      </c>
    </row>
    <row r="395" spans="1:8" x14ac:dyDescent="0.3">
      <c r="A395" s="41" t="s">
        <v>320</v>
      </c>
      <c r="E395" s="68">
        <f>'mol% to wt% Conversions'!E283</f>
        <v>81.102702449999995</v>
      </c>
      <c r="F395" s="35" t="s">
        <v>349</v>
      </c>
      <c r="G395" t="s">
        <v>350</v>
      </c>
      <c r="H395" t="s">
        <v>351</v>
      </c>
    </row>
    <row r="396" spans="1:8" x14ac:dyDescent="0.3">
      <c r="A396" s="41" t="s">
        <v>311</v>
      </c>
      <c r="E396" s="68">
        <f>E390*379.5/E395</f>
        <v>18422.031744331842</v>
      </c>
      <c r="F396" s="35">
        <f>E396/0.454</f>
        <v>40577.162432448989</v>
      </c>
      <c r="G396">
        <f>F396*1000</f>
        <v>40577162.432448991</v>
      </c>
      <c r="H396">
        <f>G396/1000000</f>
        <v>40.577162432448993</v>
      </c>
    </row>
    <row r="397" spans="1:8" x14ac:dyDescent="0.3">
      <c r="A397" s="41" t="s">
        <v>321</v>
      </c>
      <c r="E397" s="68">
        <f>E396*$B$14</f>
        <v>10235.280837150771</v>
      </c>
    </row>
    <row r="398" spans="1:8" x14ac:dyDescent="0.3">
      <c r="A398" s="41" t="s">
        <v>55</v>
      </c>
      <c r="E398" s="68">
        <f>E396*$B$15</f>
        <v>42.849645837315862</v>
      </c>
    </row>
  </sheetData>
  <mergeCells count="10">
    <mergeCell ref="A236:E236"/>
    <mergeCell ref="A300:E300"/>
    <mergeCell ref="A334:E334"/>
    <mergeCell ref="A368:E368"/>
    <mergeCell ref="A42:E42"/>
    <mergeCell ref="A73:E73"/>
    <mergeCell ref="A104:E104"/>
    <mergeCell ref="A137:E137"/>
    <mergeCell ref="A170:E170"/>
    <mergeCell ref="A203:E20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topLeftCell="A73" zoomScale="85" zoomScaleNormal="85" workbookViewId="0">
      <selection activeCell="B49" sqref="B49"/>
    </sheetView>
  </sheetViews>
  <sheetFormatPr defaultRowHeight="14.4" x14ac:dyDescent="0.3"/>
  <cols>
    <col min="1" max="1" width="37" customWidth="1"/>
    <col min="2" max="2" width="15" customWidth="1"/>
    <col min="3" max="3" width="27" customWidth="1"/>
    <col min="4" max="8" width="15" customWidth="1"/>
    <col min="10" max="10" width="14.5546875" customWidth="1"/>
    <col min="11" max="11" width="11.88671875" customWidth="1"/>
    <col min="12" max="12" width="24.21875" customWidth="1"/>
  </cols>
  <sheetData>
    <row r="1" spans="1:8" ht="18" customHeight="1" x14ac:dyDescent="0.3">
      <c r="A1" s="89" t="s">
        <v>0</v>
      </c>
      <c r="B1" s="79"/>
      <c r="C1" s="79"/>
      <c r="D1" s="79"/>
      <c r="E1" s="79"/>
      <c r="F1" s="79"/>
      <c r="G1" s="79"/>
      <c r="H1" s="79"/>
    </row>
    <row r="2" spans="1:8" x14ac:dyDescent="0.3">
      <c r="A2" s="1" t="s">
        <v>1</v>
      </c>
    </row>
    <row r="4" spans="1:8" ht="15.6" customHeight="1" x14ac:dyDescent="0.3">
      <c r="A4" s="86" t="s">
        <v>2</v>
      </c>
      <c r="B4" s="87"/>
      <c r="C4" s="88"/>
    </row>
    <row r="5" spans="1:8" x14ac:dyDescent="0.3">
      <c r="A5" s="2" t="s">
        <v>3</v>
      </c>
      <c r="B5" s="2" t="s">
        <v>4</v>
      </c>
      <c r="C5" s="2" t="s">
        <v>5</v>
      </c>
    </row>
    <row r="6" spans="1:8" x14ac:dyDescent="0.3">
      <c r="A6" s="3" t="s">
        <v>6</v>
      </c>
      <c r="B6" s="4">
        <v>4.75</v>
      </c>
      <c r="C6" s="3" t="s">
        <v>7</v>
      </c>
    </row>
    <row r="7" spans="1:8" x14ac:dyDescent="0.3">
      <c r="A7" s="3" t="s">
        <v>8</v>
      </c>
      <c r="B7" s="5">
        <v>9.4781698791343778E-4</v>
      </c>
      <c r="C7" s="3" t="s">
        <v>9</v>
      </c>
    </row>
    <row r="8" spans="1:8" x14ac:dyDescent="0.3">
      <c r="A8" s="3" t="s">
        <v>10</v>
      </c>
      <c r="B8" s="4">
        <v>8000</v>
      </c>
      <c r="C8" s="3" t="s">
        <v>11</v>
      </c>
    </row>
    <row r="10" spans="1:8" ht="15.6" customHeight="1" x14ac:dyDescent="0.3">
      <c r="A10" s="86" t="s">
        <v>12</v>
      </c>
      <c r="B10" s="87"/>
      <c r="C10" s="88"/>
    </row>
    <row r="11" spans="1:8" x14ac:dyDescent="0.3">
      <c r="A11" s="2" t="s">
        <v>13</v>
      </c>
      <c r="B11" s="2" t="s">
        <v>14</v>
      </c>
      <c r="C11" s="2" t="s">
        <v>15</v>
      </c>
    </row>
    <row r="12" spans="1:8" x14ac:dyDescent="0.3">
      <c r="A12" s="3" t="s">
        <v>16</v>
      </c>
      <c r="B12" s="6">
        <v>2000</v>
      </c>
      <c r="C12" s="3" t="s">
        <v>17</v>
      </c>
    </row>
    <row r="13" spans="1:8" x14ac:dyDescent="0.3">
      <c r="A13" s="3" t="s">
        <v>18</v>
      </c>
      <c r="B13" s="6">
        <v>400</v>
      </c>
      <c r="C13" s="3" t="s">
        <v>17</v>
      </c>
    </row>
    <row r="14" spans="1:8" x14ac:dyDescent="0.3">
      <c r="A14" s="3" t="s">
        <v>19</v>
      </c>
      <c r="B14" s="6">
        <v>400</v>
      </c>
      <c r="C14" s="3" t="s">
        <v>17</v>
      </c>
    </row>
    <row r="15" spans="1:8" x14ac:dyDescent="0.3">
      <c r="A15" s="3" t="s">
        <v>20</v>
      </c>
      <c r="B15" s="6">
        <v>729</v>
      </c>
      <c r="C15" s="3" t="s">
        <v>21</v>
      </c>
    </row>
    <row r="16" spans="1:8" x14ac:dyDescent="0.3">
      <c r="A16" s="3" t="s">
        <v>22</v>
      </c>
      <c r="B16" s="6">
        <v>620</v>
      </c>
      <c r="C16" s="3" t="s">
        <v>23</v>
      </c>
    </row>
    <row r="17" spans="1:3" x14ac:dyDescent="0.3">
      <c r="A17" s="3" t="s">
        <v>24</v>
      </c>
      <c r="B17" s="6">
        <v>450</v>
      </c>
      <c r="C17" s="3" t="s">
        <v>17</v>
      </c>
    </row>
    <row r="18" spans="1:3" x14ac:dyDescent="0.3">
      <c r="A18" s="3" t="s">
        <v>25</v>
      </c>
      <c r="B18" s="6">
        <v>1200</v>
      </c>
      <c r="C18" s="3" t="s">
        <v>17</v>
      </c>
    </row>
    <row r="19" spans="1:3" x14ac:dyDescent="0.3">
      <c r="A19" s="3" t="s">
        <v>26</v>
      </c>
      <c r="B19" s="6">
        <v>900</v>
      </c>
      <c r="C19" s="3" t="s">
        <v>17</v>
      </c>
    </row>
    <row r="21" spans="1:3" ht="15.6" customHeight="1" x14ac:dyDescent="0.3">
      <c r="A21" s="86" t="s">
        <v>27</v>
      </c>
      <c r="B21" s="87"/>
      <c r="C21" s="88"/>
    </row>
    <row r="22" spans="1:3" x14ac:dyDescent="0.3">
      <c r="A22" s="2" t="s">
        <v>28</v>
      </c>
      <c r="B22" s="2" t="s">
        <v>29</v>
      </c>
      <c r="C22" s="2" t="s">
        <v>30</v>
      </c>
    </row>
    <row r="23" spans="1:3" x14ac:dyDescent="0.3">
      <c r="A23" s="3" t="s">
        <v>16</v>
      </c>
      <c r="B23" s="7">
        <v>2.016</v>
      </c>
      <c r="C23" s="3" t="s">
        <v>31</v>
      </c>
    </row>
    <row r="24" spans="1:3" x14ac:dyDescent="0.3">
      <c r="A24" s="3" t="s">
        <v>32</v>
      </c>
      <c r="B24" s="7">
        <v>28.01</v>
      </c>
      <c r="C24" s="3" t="s">
        <v>33</v>
      </c>
    </row>
    <row r="25" spans="1:3" x14ac:dyDescent="0.3">
      <c r="A25" s="3" t="s">
        <v>34</v>
      </c>
      <c r="B25" s="7">
        <v>44.01</v>
      </c>
      <c r="C25" s="3" t="s">
        <v>33</v>
      </c>
    </row>
    <row r="26" spans="1:3" x14ac:dyDescent="0.3">
      <c r="A26" s="3" t="s">
        <v>35</v>
      </c>
      <c r="B26" s="7">
        <v>32.04</v>
      </c>
      <c r="C26" s="3" t="s">
        <v>33</v>
      </c>
    </row>
    <row r="28" spans="1:3" ht="15.6" customHeight="1" x14ac:dyDescent="0.3">
      <c r="A28" s="86" t="s">
        <v>36</v>
      </c>
      <c r="B28" s="87"/>
      <c r="C28" s="88"/>
    </row>
    <row r="29" spans="1:3" x14ac:dyDescent="0.3">
      <c r="A29" s="2" t="s">
        <v>3</v>
      </c>
      <c r="B29" s="2" t="s">
        <v>4</v>
      </c>
      <c r="C29" s="2" t="s">
        <v>5</v>
      </c>
    </row>
    <row r="30" spans="1:3" x14ac:dyDescent="0.3">
      <c r="A30" s="3" t="s">
        <v>37</v>
      </c>
      <c r="B30" s="8">
        <v>0.75</v>
      </c>
      <c r="C30" s="3" t="s">
        <v>38</v>
      </c>
    </row>
    <row r="31" spans="1:3" x14ac:dyDescent="0.3">
      <c r="A31" s="3" t="s">
        <v>39</v>
      </c>
      <c r="B31" s="8">
        <v>0.79</v>
      </c>
      <c r="C31" s="3" t="s">
        <v>38</v>
      </c>
    </row>
    <row r="32" spans="1:3" x14ac:dyDescent="0.3">
      <c r="A32" s="3" t="s">
        <v>40</v>
      </c>
      <c r="B32" s="8">
        <v>5</v>
      </c>
      <c r="C32" s="3" t="s">
        <v>41</v>
      </c>
    </row>
    <row r="33" spans="1:8" x14ac:dyDescent="0.3">
      <c r="A33" s="3" t="s">
        <v>42</v>
      </c>
      <c r="B33" s="9">
        <v>28</v>
      </c>
      <c r="C33" s="3" t="s">
        <v>43</v>
      </c>
    </row>
    <row r="34" spans="1:8" x14ac:dyDescent="0.3">
      <c r="A34" s="3" t="s">
        <v>44</v>
      </c>
      <c r="B34" s="9">
        <v>42</v>
      </c>
      <c r="C34" s="3" t="s">
        <v>43</v>
      </c>
    </row>
    <row r="35" spans="1:8" x14ac:dyDescent="0.3">
      <c r="A35" s="3" t="s">
        <v>45</v>
      </c>
      <c r="B35" s="9">
        <v>1514271</v>
      </c>
      <c r="C35" s="3" t="s">
        <v>46</v>
      </c>
    </row>
    <row r="36" spans="1:8" x14ac:dyDescent="0.3">
      <c r="A36" s="3" t="s">
        <v>47</v>
      </c>
      <c r="B36" s="9">
        <v>11</v>
      </c>
      <c r="C36" s="3" t="s">
        <v>48</v>
      </c>
    </row>
    <row r="37" spans="1:8" x14ac:dyDescent="0.3">
      <c r="A37" s="3" t="s">
        <v>49</v>
      </c>
      <c r="B37" s="9">
        <v>16</v>
      </c>
      <c r="C37" s="3" t="s">
        <v>48</v>
      </c>
    </row>
    <row r="38" spans="1:8" x14ac:dyDescent="0.3">
      <c r="A38" s="3" t="s">
        <v>50</v>
      </c>
      <c r="B38" s="9">
        <v>95</v>
      </c>
      <c r="C38" s="3" t="s">
        <v>51</v>
      </c>
    </row>
    <row r="40" spans="1:8" ht="15.6" customHeight="1" x14ac:dyDescent="0.3">
      <c r="A40" s="86" t="s">
        <v>52</v>
      </c>
      <c r="B40" s="87"/>
      <c r="C40" s="87"/>
      <c r="D40" s="87"/>
      <c r="E40" s="87"/>
      <c r="F40" s="87"/>
      <c r="G40" s="87"/>
      <c r="H40" s="88"/>
    </row>
    <row r="41" spans="1:8" x14ac:dyDescent="0.3">
      <c r="A41" s="2" t="s">
        <v>53</v>
      </c>
      <c r="B41" s="2" t="s">
        <v>54</v>
      </c>
      <c r="C41" s="2" t="s">
        <v>55</v>
      </c>
      <c r="D41" s="2" t="s">
        <v>56</v>
      </c>
      <c r="E41" s="2" t="s">
        <v>57</v>
      </c>
      <c r="F41" s="2" t="s">
        <v>58</v>
      </c>
      <c r="G41" s="2" t="s">
        <v>15</v>
      </c>
    </row>
    <row r="42" spans="1:8" x14ac:dyDescent="0.3">
      <c r="A42" s="3" t="s">
        <v>261</v>
      </c>
      <c r="B42" s="9">
        <v>4122</v>
      </c>
      <c r="C42" s="8">
        <f>'Heat Content Calculations'!E70</f>
        <v>50.811858632624627</v>
      </c>
      <c r="D42" s="10">
        <v>1</v>
      </c>
      <c r="E42" s="10">
        <v>0</v>
      </c>
      <c r="F42" s="3" t="s">
        <v>59</v>
      </c>
      <c r="G42" s="3" t="s">
        <v>264</v>
      </c>
    </row>
    <row r="43" spans="1:8" x14ac:dyDescent="0.3">
      <c r="A43" s="55" t="s">
        <v>262</v>
      </c>
      <c r="B43" s="56">
        <v>2989</v>
      </c>
      <c r="C43" s="57">
        <f>'Heat Content Calculations'!E101</f>
        <v>51.241226776477582</v>
      </c>
      <c r="D43" s="10">
        <v>1</v>
      </c>
      <c r="E43" s="10">
        <v>0</v>
      </c>
      <c r="F43" s="3" t="s">
        <v>59</v>
      </c>
      <c r="G43" s="3" t="s">
        <v>264</v>
      </c>
    </row>
    <row r="44" spans="1:8" x14ac:dyDescent="0.3">
      <c r="A44" s="3" t="s">
        <v>64</v>
      </c>
      <c r="B44" s="9">
        <f>13798541/30/24</f>
        <v>19164.640277777777</v>
      </c>
      <c r="C44" s="8">
        <f>'Heat Content Calculations'!E134</f>
        <v>48.755269882956135</v>
      </c>
      <c r="D44" s="10"/>
      <c r="E44" s="10"/>
      <c r="F44" s="3"/>
      <c r="G44" s="3" t="s">
        <v>264</v>
      </c>
    </row>
    <row r="45" spans="1:8" x14ac:dyDescent="0.3">
      <c r="A45" s="3" t="s">
        <v>247</v>
      </c>
      <c r="B45" s="9">
        <f>21092258/30/24</f>
        <v>29294.802777777779</v>
      </c>
      <c r="C45" s="8">
        <f>'Heat Content Calculations'!E167</f>
        <v>45.999727425703007</v>
      </c>
      <c r="D45" s="10"/>
      <c r="E45" s="10"/>
      <c r="F45" s="3"/>
      <c r="G45" s="3" t="s">
        <v>264</v>
      </c>
    </row>
    <row r="46" spans="1:8" x14ac:dyDescent="0.3">
      <c r="A46" s="3" t="s">
        <v>263</v>
      </c>
      <c r="B46" s="9">
        <f>B44+B45</f>
        <v>48459.443055555559</v>
      </c>
      <c r="C46" s="8">
        <f>C44</f>
        <v>48.755269882956135</v>
      </c>
      <c r="D46" s="10">
        <v>0</v>
      </c>
      <c r="E46" s="10">
        <v>1</v>
      </c>
      <c r="F46" s="3" t="s">
        <v>60</v>
      </c>
      <c r="G46" s="3" t="s">
        <v>264</v>
      </c>
    </row>
    <row r="47" spans="1:8" x14ac:dyDescent="0.3">
      <c r="A47" s="3" t="s">
        <v>61</v>
      </c>
      <c r="B47" s="9">
        <f>45206243/30/24</f>
        <v>62786.448611111111</v>
      </c>
      <c r="C47" s="8">
        <f>'Heat Content Calculations'!E200</f>
        <v>7.8505607279008967</v>
      </c>
      <c r="D47" s="10">
        <v>0</v>
      </c>
      <c r="E47" s="10">
        <v>1</v>
      </c>
      <c r="F47" s="3" t="s">
        <v>60</v>
      </c>
      <c r="G47" s="3" t="s">
        <v>264</v>
      </c>
    </row>
    <row r="48" spans="1:8" x14ac:dyDescent="0.3">
      <c r="A48" s="3" t="s">
        <v>62</v>
      </c>
      <c r="B48" s="9">
        <f>2680861/30/24</f>
        <v>3723.4180555555558</v>
      </c>
      <c r="C48" s="8">
        <f>'Heat Content Calculations'!E233</f>
        <v>53.299147442515618</v>
      </c>
      <c r="D48" s="10">
        <v>0</v>
      </c>
      <c r="E48" s="10">
        <v>1</v>
      </c>
      <c r="F48" s="3" t="s">
        <v>60</v>
      </c>
      <c r="G48" s="3" t="s">
        <v>264</v>
      </c>
    </row>
    <row r="49" spans="1:8" x14ac:dyDescent="0.3">
      <c r="A49" s="3" t="s">
        <v>242</v>
      </c>
      <c r="B49" s="9">
        <v>2088.1163570667682</v>
      </c>
      <c r="C49" s="8">
        <f>'Heat Content Calculations'!E266</f>
        <v>57.690623434529705</v>
      </c>
      <c r="D49" s="10">
        <v>0</v>
      </c>
      <c r="E49" s="10">
        <v>1</v>
      </c>
      <c r="F49" s="3" t="s">
        <v>60</v>
      </c>
      <c r="G49" s="3" t="s">
        <v>264</v>
      </c>
    </row>
    <row r="51" spans="1:8" ht="15.6" customHeight="1" x14ac:dyDescent="0.3">
      <c r="A51" s="86" t="s">
        <v>63</v>
      </c>
      <c r="B51" s="87"/>
      <c r="C51" s="87"/>
      <c r="D51" s="87"/>
      <c r="E51" s="88"/>
    </row>
    <row r="52" spans="1:8" x14ac:dyDescent="0.3">
      <c r="A52" s="2" t="s">
        <v>28</v>
      </c>
      <c r="B52" s="2" t="s">
        <v>239</v>
      </c>
      <c r="C52" s="2" t="s">
        <v>240</v>
      </c>
      <c r="D52" s="2" t="s">
        <v>249</v>
      </c>
      <c r="E52" s="39" t="s">
        <v>247</v>
      </c>
      <c r="F52" s="2" t="s">
        <v>65</v>
      </c>
      <c r="G52" s="2" t="s">
        <v>62</v>
      </c>
      <c r="H52" s="2" t="s">
        <v>242</v>
      </c>
    </row>
    <row r="53" spans="1:8" x14ac:dyDescent="0.3">
      <c r="A53" s="3" t="s">
        <v>66</v>
      </c>
      <c r="B53" s="11">
        <f>'mol% to wt% Conversions'!$F$32</f>
        <v>0.12226329671857078</v>
      </c>
      <c r="C53" s="11">
        <f>'mol% to wt% Conversions'!$F$52</f>
        <v>0.14305196363531242</v>
      </c>
      <c r="D53" s="11">
        <f>'mol% to wt% Conversions'!$F$72</f>
        <v>4.1464412478519307E-2</v>
      </c>
      <c r="E53" s="40">
        <f>'mol% to wt% Conversions'!$F$94</f>
        <v>3.3822803088379205E-6</v>
      </c>
      <c r="F53" s="11">
        <f>'mol% to wt% Conversions'!$F$116</f>
        <v>2.1194240046430491E-2</v>
      </c>
      <c r="G53" s="11">
        <f>'mol% to wt% Conversions'!$F$138</f>
        <v>9.2869584151503232E-2</v>
      </c>
      <c r="H53" s="11">
        <f>'mol% to wt% Conversions'!$F$160</f>
        <v>0.1499910425836925</v>
      </c>
    </row>
    <row r="54" spans="1:8" x14ac:dyDescent="0.3">
      <c r="A54" s="3" t="s">
        <v>67</v>
      </c>
      <c r="B54" s="11">
        <f>'mol% to wt% Conversions'!$F$33</f>
        <v>0.26258591431154582</v>
      </c>
      <c r="C54" s="11">
        <f>'mol% to wt% Conversions'!$F$53</f>
        <v>0.23129509582662486</v>
      </c>
      <c r="D54" s="11">
        <f>'mol% to wt% Conversions'!$F$73</f>
        <v>0.50065031799964599</v>
      </c>
      <c r="E54" s="40">
        <f>'mol% to wt% Conversions'!$F$95</f>
        <v>0.81771382398082182</v>
      </c>
      <c r="F54" s="11">
        <f>'mol% to wt% Conversions'!$F$117</f>
        <v>7.9016500331347772E-2</v>
      </c>
      <c r="G54" s="11">
        <f>'mol% to wt% Conversions'!$F$139</f>
        <v>9.0400390290441626E-2</v>
      </c>
      <c r="H54" s="11">
        <f>'mol% to wt% Conversions'!$F$161</f>
        <v>6.4414836167839842E-2</v>
      </c>
    </row>
    <row r="55" spans="1:8" x14ac:dyDescent="0.3">
      <c r="A55" s="3" t="s">
        <v>68</v>
      </c>
      <c r="B55" s="11">
        <f>'mol% to wt% Conversions'!$F$34</f>
        <v>0.10714577839606557</v>
      </c>
      <c r="C55" s="11">
        <f>'mol% to wt% Conversions'!$F$54</f>
        <v>7.9654628579154868E-2</v>
      </c>
      <c r="D55" s="11">
        <f>'mol% to wt% Conversions'!$F$74</f>
        <v>0.11370727517471831</v>
      </c>
      <c r="E55" s="40">
        <f>'mol% to wt% Conversions'!$F$96</f>
        <v>7.4701712507544954E-2</v>
      </c>
      <c r="F55" s="11">
        <f>'mol% to wt% Conversions'!$F$118</f>
        <v>5.4649633005402142E-5</v>
      </c>
      <c r="G55" s="11">
        <f>'mol% to wt% Conversions'!$F$140</f>
        <v>0.24829409891832749</v>
      </c>
      <c r="H55" s="11">
        <f>'mol% to wt% Conversions'!$F$162</f>
        <v>0.13691057768910178</v>
      </c>
    </row>
    <row r="56" spans="1:8" x14ac:dyDescent="0.3">
      <c r="A56" s="3" t="s">
        <v>69</v>
      </c>
      <c r="B56" s="11">
        <f>'mol% to wt% Conversions'!$F$35</f>
        <v>3.2532099696840448E-3</v>
      </c>
      <c r="C56" s="11">
        <f>'mol% to wt% Conversions'!$F$55</f>
        <v>3.650954744807559E-3</v>
      </c>
      <c r="D56" s="11">
        <f>'mol% to wt% Conversions'!$F$75</f>
        <v>4.8179902910051855E-3</v>
      </c>
      <c r="E56" s="40">
        <f>'mol% to wt% Conversions'!$F$97</f>
        <v>0</v>
      </c>
      <c r="F56" s="11">
        <f>'mol% to wt% Conversions'!$F$119</f>
        <v>0</v>
      </c>
      <c r="G56" s="11">
        <f>'mol% to wt% Conversions'!$F$141</f>
        <v>0</v>
      </c>
      <c r="H56" s="11">
        <f>'mol% to wt% Conversions'!$F$163</f>
        <v>0</v>
      </c>
    </row>
    <row r="57" spans="1:8" x14ac:dyDescent="0.3">
      <c r="A57" s="3" t="s">
        <v>70</v>
      </c>
      <c r="B57" s="11">
        <f>'mol% to wt% Conversions'!$F$36</f>
        <v>0.124443683172623</v>
      </c>
      <c r="C57" s="11">
        <f>'mol% to wt% Conversions'!$F$56</f>
        <v>0.12396471290054531</v>
      </c>
      <c r="D57" s="11">
        <f>'mol% to wt% Conversions'!$F$76</f>
        <v>8.7368077805778266E-2</v>
      </c>
      <c r="E57" s="40">
        <f>'mol% to wt% Conversions'!$F$98</f>
        <v>2.0191302151763967E-2</v>
      </c>
      <c r="F57" s="11">
        <f>'mol% to wt% Conversions'!$F$120</f>
        <v>9.6172013050232986E-5</v>
      </c>
      <c r="G57" s="11">
        <f>'mol% to wt% Conversions'!$F$142</f>
        <v>0.30252393044730913</v>
      </c>
      <c r="H57" s="11">
        <f>'mol% to wt% Conversions'!$F$164</f>
        <v>0.42501800148246599</v>
      </c>
    </row>
    <row r="58" spans="1:8" x14ac:dyDescent="0.3">
      <c r="A58" s="3" t="s">
        <v>71</v>
      </c>
      <c r="B58" s="11">
        <f>'mol% to wt% Conversions'!$F$37</f>
        <v>8.6810472266038892E-3</v>
      </c>
      <c r="C58" s="11">
        <f>'mol% to wt% Conversions'!$F$57</f>
        <v>1.0135944935180594E-2</v>
      </c>
      <c r="D58" s="11">
        <f>'mol% to wt% Conversions'!$F$77</f>
        <v>6.156510003325147E-3</v>
      </c>
      <c r="E58" s="40">
        <f>'mol% to wt% Conversions'!$F$99</f>
        <v>0</v>
      </c>
      <c r="F58" s="11">
        <f>'mol% to wt% Conversions'!$F$121</f>
        <v>0</v>
      </c>
      <c r="G58" s="11">
        <f>'mol% to wt% Conversions'!$F$143</f>
        <v>0</v>
      </c>
      <c r="H58" s="11">
        <f>'mol% to wt% Conversions'!$F$165</f>
        <v>0</v>
      </c>
    </row>
    <row r="59" spans="1:8" x14ac:dyDescent="0.3">
      <c r="A59" s="3" t="s">
        <v>72</v>
      </c>
      <c r="B59" s="11">
        <v>0</v>
      </c>
      <c r="C59" s="11">
        <v>0</v>
      </c>
      <c r="D59" s="11">
        <f>'mol% to wt% Conversions'!$F$79</f>
        <v>6.6824742856322228E-2</v>
      </c>
      <c r="E59" s="40">
        <f>'mol% to wt% Conversions'!$F$101</f>
        <v>3.7895894935692058E-3</v>
      </c>
      <c r="F59" s="11">
        <f>'mol% to wt% Conversions'!$F$123</f>
        <v>6.3382233246991705E-5</v>
      </c>
      <c r="G59" s="11">
        <f>'mol% to wt% Conversions'!$F$145</f>
        <v>0.13104475947311736</v>
      </c>
      <c r="H59" s="11">
        <f>'mol% to wt% Conversions'!$F$167</f>
        <v>0.18296681641495852</v>
      </c>
    </row>
    <row r="60" spans="1:8" x14ac:dyDescent="0.3">
      <c r="A60" s="3" t="s">
        <v>73</v>
      </c>
      <c r="B60" s="11">
        <f>'mol% to wt% Conversions'!$F$38</f>
        <v>9.1542671681909327E-2</v>
      </c>
      <c r="C60" s="11">
        <f>'mol% to wt% Conversions'!$F$58</f>
        <v>0.11001816044270291</v>
      </c>
      <c r="D60" s="11">
        <f>'mol% to wt% Conversions'!$F$78</f>
        <v>8.9493973373882235E-2</v>
      </c>
      <c r="E60" s="40">
        <f>'mol% to wt% Conversions'!$F$100</f>
        <v>4.371710353296282E-3</v>
      </c>
      <c r="F60" s="11">
        <f>'mol% to wt% Conversions'!$F$122</f>
        <v>4.9296444370791361E-5</v>
      </c>
      <c r="G60" s="11">
        <f>'mol% to wt% Conversions'!$F$144</f>
        <v>8.005644284116234E-2</v>
      </c>
      <c r="H60" s="11">
        <f>'mol% to wt% Conversions'!$F$166</f>
        <v>1.5629780621198575E-2</v>
      </c>
    </row>
    <row r="61" spans="1:8" x14ac:dyDescent="0.3">
      <c r="A61" s="3" t="s">
        <v>241</v>
      </c>
      <c r="B61" s="11">
        <f>'mol% to wt% Conversions'!$F$39</f>
        <v>7.9372525475922426E-2</v>
      </c>
      <c r="C61" s="11">
        <f>'mol% to wt% Conversions'!$F$59</f>
        <v>8.4242165231233485E-2</v>
      </c>
      <c r="D61" s="11">
        <f>'mol% to wt% Conversions'!$F$80</f>
        <v>0</v>
      </c>
      <c r="E61" s="40">
        <f>'mol% to wt% Conversions'!$F$102</f>
        <v>0</v>
      </c>
      <c r="F61" s="11">
        <f>'mol% to wt% Conversions'!$F$124</f>
        <v>0</v>
      </c>
      <c r="G61" s="11">
        <f>'mol% to wt% Conversions'!$F$146</f>
        <v>0</v>
      </c>
      <c r="H61" s="11">
        <f>'mol% to wt% Conversions'!$F$168</f>
        <v>0</v>
      </c>
    </row>
    <row r="62" spans="1:8" x14ac:dyDescent="0.3">
      <c r="A62" s="3" t="s">
        <v>213</v>
      </c>
      <c r="B62" s="11">
        <v>0</v>
      </c>
      <c r="C62" s="11">
        <v>0</v>
      </c>
      <c r="D62" s="11">
        <v>0</v>
      </c>
      <c r="E62" s="40">
        <v>0</v>
      </c>
      <c r="F62" s="11">
        <v>0</v>
      </c>
      <c r="G62" s="11">
        <v>0</v>
      </c>
      <c r="H62" s="11">
        <v>0</v>
      </c>
    </row>
    <row r="63" spans="1:8" x14ac:dyDescent="0.3">
      <c r="A63" s="3" t="s">
        <v>212</v>
      </c>
      <c r="B63" s="11">
        <f>'mol% to wt% Conversions'!$F$40</f>
        <v>3.8064249944871079E-2</v>
      </c>
      <c r="C63" s="11">
        <f>'mol% to wt% Conversions'!$F$60</f>
        <v>3.4383849778170487E-2</v>
      </c>
      <c r="D63" s="11">
        <v>0</v>
      </c>
      <c r="E63" s="40">
        <f>'mol% to wt% Conversions'!$F$103</f>
        <v>0</v>
      </c>
      <c r="F63" s="11">
        <f>'mol% to wt% Conversions'!$F$125</f>
        <v>0</v>
      </c>
      <c r="G63" s="11">
        <f>'mol% to wt% Conversions'!$F$147</f>
        <v>0</v>
      </c>
      <c r="H63" s="11">
        <f>'mol% to wt% Conversions'!$F$169</f>
        <v>2.3921967034201987E-2</v>
      </c>
    </row>
    <row r="64" spans="1:8" x14ac:dyDescent="0.3">
      <c r="A64" s="3" t="s">
        <v>214</v>
      </c>
      <c r="B64" s="11">
        <f>'mol% to wt% Conversions'!$F$41</f>
        <v>3.8971043440115885E-2</v>
      </c>
      <c r="C64" s="11">
        <f>'mol% to wt% Conversions'!$F$61</f>
        <v>3.8755111494037535E-2</v>
      </c>
      <c r="D64" s="11">
        <v>0</v>
      </c>
      <c r="E64" s="40">
        <f>'mol% to wt% Conversions'!$F$104</f>
        <v>0</v>
      </c>
      <c r="F64" s="11">
        <f>'mol% to wt% Conversions'!$F$126</f>
        <v>0</v>
      </c>
      <c r="G64" s="11">
        <f>'mol% to wt% Conversions'!$F$148</f>
        <v>0</v>
      </c>
      <c r="H64" s="11">
        <f>'mol% to wt% Conversions'!$F$170</f>
        <v>0</v>
      </c>
    </row>
    <row r="65" spans="1:12" x14ac:dyDescent="0.3">
      <c r="A65" s="3" t="s">
        <v>74</v>
      </c>
      <c r="B65" s="11">
        <v>0</v>
      </c>
      <c r="C65" s="11">
        <v>0</v>
      </c>
      <c r="D65" s="11">
        <f>'mol% to wt% Conversions'!$F$83</f>
        <v>4.0392517359331442E-2</v>
      </c>
      <c r="E65" s="40">
        <f>'mol% to wt% Conversions'!$F$105</f>
        <v>3.7263467627627828E-3</v>
      </c>
      <c r="F65" s="11">
        <f>'mol% to wt% Conversions'!$F$127</f>
        <v>3.0266860145360212E-4</v>
      </c>
      <c r="G65" s="11">
        <f>'mol% to wt% Conversions'!$F$149</f>
        <v>5.4810793878138739E-2</v>
      </c>
      <c r="H65" s="11">
        <f>'mol% to wt% Conversions'!$F$171</f>
        <v>1.1469780065405813E-3</v>
      </c>
    </row>
    <row r="66" spans="1:12" x14ac:dyDescent="0.3">
      <c r="A66" s="3" t="s">
        <v>215</v>
      </c>
      <c r="B66" s="11">
        <f>'mol% to wt% Conversions'!$F$42</f>
        <v>1.3454329795964438E-5</v>
      </c>
      <c r="C66" s="11">
        <f>'mol% to wt% Conversions'!$F$62</f>
        <v>1.3524355151090201E-5</v>
      </c>
      <c r="D66" s="11">
        <f>'mol% to wt% Conversions'!$F$84</f>
        <v>0</v>
      </c>
      <c r="E66" s="40">
        <f>'mol% to wt% Conversions'!$F$106</f>
        <v>0</v>
      </c>
      <c r="F66" s="11">
        <f>'mol% to wt% Conversions'!$F$128</f>
        <v>0</v>
      </c>
      <c r="G66" s="11">
        <f>'mol% to wt% Conversions'!$F$150</f>
        <v>0</v>
      </c>
      <c r="H66" s="11">
        <f>'mol% to wt% Conversions'!$F$172</f>
        <v>0</v>
      </c>
    </row>
    <row r="67" spans="1:12" x14ac:dyDescent="0.3">
      <c r="A67" s="3" t="s">
        <v>75</v>
      </c>
      <c r="B67" s="11">
        <f>'mol% to wt% Conversions'!$F$43</f>
        <v>2.2460994105909186E-2</v>
      </c>
      <c r="C67" s="11">
        <f>'mol% to wt% Conversions'!$F$63</f>
        <v>7.7616506739574343E-3</v>
      </c>
      <c r="D67" s="11">
        <f>'mol% to wt% Conversions'!$F$85</f>
        <v>0</v>
      </c>
      <c r="E67" s="40">
        <f>'mol% to wt% Conversions'!$F$107</f>
        <v>0</v>
      </c>
      <c r="F67" s="11">
        <f>'mol% to wt% Conversions'!$F$129</f>
        <v>0.12946632477932321</v>
      </c>
      <c r="G67" s="11">
        <f>'mol% to wt% Conversions'!$F$151</f>
        <v>0</v>
      </c>
      <c r="H67" s="11">
        <f>'mol% to wt% Conversions'!$F$173</f>
        <v>0</v>
      </c>
    </row>
    <row r="68" spans="1:12" x14ac:dyDescent="0.3">
      <c r="A68" s="3" t="s">
        <v>76</v>
      </c>
      <c r="B68" s="11">
        <f>'mol% to wt% Conversions'!$F$44</f>
        <v>4.5585690247402687E-2</v>
      </c>
      <c r="C68" s="11">
        <f>'mol% to wt% Conversions'!$F$64</f>
        <v>6.5128007251038456E-2</v>
      </c>
      <c r="D68" s="11">
        <f>'mol% to wt% Conversions'!$F$86</f>
        <v>4.9124182657471732E-2</v>
      </c>
      <c r="E68" s="40">
        <f>'mol% to wt% Conversions'!$F$108</f>
        <v>6.7262767740300031E-2</v>
      </c>
      <c r="F68" s="11">
        <f>'mol% to wt% Conversions'!$F$130</f>
        <v>0.76975676591777153</v>
      </c>
      <c r="G68" s="11">
        <f>'mol% to wt% Conversions'!$F$152</f>
        <v>0</v>
      </c>
      <c r="H68" s="11">
        <f>'mol% to wt% Conversions'!$F$174</f>
        <v>0</v>
      </c>
    </row>
    <row r="69" spans="1:12" x14ac:dyDescent="0.3">
      <c r="A69" s="3" t="s">
        <v>77</v>
      </c>
      <c r="B69" s="11">
        <f>'mol% to wt% Conversions'!$F$45</f>
        <v>5.5616440978980566E-2</v>
      </c>
      <c r="C69" s="11">
        <f>'mol% to wt% Conversions'!$F$65</f>
        <v>6.7944230152082841E-2</v>
      </c>
      <c r="D69" s="11">
        <f>'mol% to wt% Conversions'!$F$87</f>
        <v>0</v>
      </c>
      <c r="E69" s="32">
        <f>'mol% to wt% Conversions'!$F$109</f>
        <v>8.2393647296321523E-3</v>
      </c>
      <c r="F69" s="11">
        <f>'mol% to wt% Conversions'!$F$131</f>
        <v>0</v>
      </c>
      <c r="G69" s="11">
        <f>'mol% to wt% Conversions'!$F$153</f>
        <v>0</v>
      </c>
      <c r="H69" s="11">
        <f>'mol% to wt% Conversions'!$F$175</f>
        <v>0</v>
      </c>
    </row>
    <row r="70" spans="1:12" ht="15" thickBot="1" x14ac:dyDescent="0.35"/>
    <row r="71" spans="1:12" ht="15" thickBot="1" x14ac:dyDescent="0.35">
      <c r="A71" s="12" t="s">
        <v>78</v>
      </c>
      <c r="B71" s="13">
        <f t="shared" ref="B71:H71" si="0">SUM(B53:B70)</f>
        <v>1.0000000000000002</v>
      </c>
      <c r="C71" s="13">
        <f t="shared" si="0"/>
        <v>0.99999999999999967</v>
      </c>
      <c r="D71" s="13">
        <f t="shared" si="0"/>
        <v>0.99999999999999989</v>
      </c>
      <c r="E71" s="13">
        <f t="shared" si="0"/>
        <v>1</v>
      </c>
      <c r="F71" s="13">
        <f t="shared" si="0"/>
        <v>1</v>
      </c>
      <c r="G71" s="13">
        <f t="shared" si="0"/>
        <v>0.99999999999999978</v>
      </c>
      <c r="H71" s="13">
        <f t="shared" si="0"/>
        <v>0.99999999999999989</v>
      </c>
    </row>
    <row r="75" spans="1:12" ht="15.6" x14ac:dyDescent="0.3">
      <c r="A75" s="45" t="s">
        <v>256</v>
      </c>
    </row>
    <row r="78" spans="1:12" ht="18.600000000000001" thickBot="1" x14ac:dyDescent="0.4">
      <c r="B78" s="53"/>
      <c r="D78" s="46"/>
      <c r="E78" s="46"/>
    </row>
    <row r="79" spans="1:12" ht="18.600000000000001" thickBot="1" x14ac:dyDescent="0.4">
      <c r="B79" s="54" t="s">
        <v>258</v>
      </c>
      <c r="C79" s="42" t="s">
        <v>249</v>
      </c>
      <c r="D79" s="46" t="s">
        <v>250</v>
      </c>
      <c r="E79" s="46" t="s">
        <v>250</v>
      </c>
      <c r="F79" s="43" t="s">
        <v>251</v>
      </c>
      <c r="G79" s="46" t="s">
        <v>250</v>
      </c>
      <c r="H79" s="47" t="s">
        <v>259</v>
      </c>
      <c r="I79" s="46" t="s">
        <v>250</v>
      </c>
      <c r="J79" s="48" t="s">
        <v>253</v>
      </c>
      <c r="K79" s="46" t="s">
        <v>250</v>
      </c>
      <c r="L79" s="49" t="s">
        <v>257</v>
      </c>
    </row>
    <row r="80" spans="1:12" ht="18.600000000000001" thickBot="1" x14ac:dyDescent="0.4">
      <c r="E80" s="46" t="s">
        <v>254</v>
      </c>
    </row>
    <row r="81" spans="1:11" ht="18.600000000000001" thickBot="1" x14ac:dyDescent="0.4">
      <c r="C81" s="50" t="s">
        <v>242</v>
      </c>
      <c r="D81" s="46" t="s">
        <v>250</v>
      </c>
      <c r="E81" s="46" t="s">
        <v>254</v>
      </c>
      <c r="K81" s="46" t="s">
        <v>252</v>
      </c>
    </row>
    <row r="82" spans="1:11" ht="18.600000000000001" thickBot="1" x14ac:dyDescent="0.4">
      <c r="E82" s="46" t="s">
        <v>252</v>
      </c>
    </row>
    <row r="83" spans="1:11" ht="18.600000000000001" thickBot="1" x14ac:dyDescent="0.4">
      <c r="C83" s="51" t="s">
        <v>255</v>
      </c>
      <c r="D83" s="46" t="s">
        <v>250</v>
      </c>
      <c r="E83" s="46" t="s">
        <v>254</v>
      </c>
      <c r="K83" s="44" t="s">
        <v>247</v>
      </c>
    </row>
    <row r="84" spans="1:11" ht="18.600000000000001" thickBot="1" x14ac:dyDescent="0.4">
      <c r="E84" s="46" t="s">
        <v>252</v>
      </c>
      <c r="K84" t="s">
        <v>330</v>
      </c>
    </row>
    <row r="85" spans="1:11" ht="18.600000000000001" thickBot="1" x14ac:dyDescent="0.4">
      <c r="C85" s="52" t="s">
        <v>62</v>
      </c>
      <c r="D85" s="46" t="s">
        <v>250</v>
      </c>
    </row>
    <row r="90" spans="1:11" ht="15.6" x14ac:dyDescent="0.3">
      <c r="A90" s="45" t="s">
        <v>260</v>
      </c>
    </row>
  </sheetData>
  <mergeCells count="7">
    <mergeCell ref="A10:C10"/>
    <mergeCell ref="A28:C28"/>
    <mergeCell ref="A51:E51"/>
    <mergeCell ref="A21:C21"/>
    <mergeCell ref="A1:H1"/>
    <mergeCell ref="A4:C4"/>
    <mergeCell ref="A40:H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tabSelected="1" workbookViewId="0">
      <pane ySplit="4" topLeftCell="A5" activePane="bottomLeft" state="frozen"/>
      <selection pane="bottomLeft" activeCell="J11" sqref="J11"/>
    </sheetView>
  </sheetViews>
  <sheetFormatPr defaultRowHeight="14.4" x14ac:dyDescent="0.3"/>
  <cols>
    <col min="1" max="1" width="32" customWidth="1"/>
    <col min="2" max="8" width="16" customWidth="1"/>
  </cols>
  <sheetData>
    <row r="1" spans="1:8" ht="18" customHeight="1" x14ac:dyDescent="0.3">
      <c r="A1" s="89" t="s">
        <v>96</v>
      </c>
      <c r="B1" s="79"/>
      <c r="C1" s="79"/>
      <c r="D1" s="79"/>
      <c r="E1" s="79"/>
      <c r="F1" s="79"/>
      <c r="G1" s="79"/>
      <c r="H1" s="79"/>
    </row>
    <row r="2" spans="1:8" x14ac:dyDescent="0.3">
      <c r="A2" s="1" t="s">
        <v>333</v>
      </c>
    </row>
    <row r="4" spans="1:8" x14ac:dyDescent="0.3">
      <c r="A4" s="2" t="s">
        <v>3</v>
      </c>
      <c r="B4" s="2" t="s">
        <v>239</v>
      </c>
      <c r="C4" s="2" t="s">
        <v>331</v>
      </c>
      <c r="D4" s="2" t="s">
        <v>249</v>
      </c>
      <c r="E4" s="2" t="s">
        <v>65</v>
      </c>
      <c r="F4" s="2" t="s">
        <v>62</v>
      </c>
      <c r="G4" s="2" t="s">
        <v>332</v>
      </c>
      <c r="H4" s="2" t="s">
        <v>97</v>
      </c>
    </row>
    <row r="5" spans="1:8" x14ac:dyDescent="0.3">
      <c r="A5" s="3" t="s">
        <v>54</v>
      </c>
      <c r="B5" s="9">
        <f>'1. ALL INPUT DATA'!B42</f>
        <v>4122</v>
      </c>
      <c r="C5" s="9">
        <f>'1. ALL INPUT DATA'!B43</f>
        <v>2989</v>
      </c>
      <c r="D5" s="9">
        <f>'1. ALL INPUT DATA'!B46</f>
        <v>48459.443055555559</v>
      </c>
      <c r="E5" s="9">
        <f>'1. ALL INPUT DATA'!B47</f>
        <v>62786.448611111111</v>
      </c>
      <c r="F5" s="9">
        <f>'1. ALL INPUT DATA'!B48</f>
        <v>3723.4180555555558</v>
      </c>
      <c r="G5" s="9">
        <f>'1. ALL INPUT DATA'!B49</f>
        <v>2088.1163570667682</v>
      </c>
      <c r="H5" s="9">
        <f>SUM(B5:G5)</f>
        <v>124168.42607928898</v>
      </c>
    </row>
    <row r="6" spans="1:8" x14ac:dyDescent="0.3">
      <c r="A6" s="3" t="s">
        <v>98</v>
      </c>
      <c r="B6" s="9">
        <f>B5*'1. ALL INPUT DATA'!$B$8/1000</f>
        <v>32976</v>
      </c>
      <c r="C6" s="9">
        <f>C5*'1. ALL INPUT DATA'!$B$8/1000</f>
        <v>23912</v>
      </c>
      <c r="D6" s="9">
        <f>D5*'1. ALL INPUT DATA'!$B$8/1000</f>
        <v>387675.54444444447</v>
      </c>
      <c r="E6" s="9">
        <f>E5*'1. ALL INPUT DATA'!$B$8/1000</f>
        <v>502291.58888888889</v>
      </c>
      <c r="F6" s="9">
        <f>F5*'1. ALL INPUT DATA'!$B$8/1000</f>
        <v>29787.344444444447</v>
      </c>
      <c r="G6" s="9">
        <f>G5*'1. ALL INPUT DATA'!$B$8/1000</f>
        <v>16704.930856534145</v>
      </c>
      <c r="H6" s="9">
        <f>SUM(B6:G6)</f>
        <v>993347.40863431187</v>
      </c>
    </row>
    <row r="7" spans="1:8" x14ac:dyDescent="0.3">
      <c r="A7" s="3" t="s">
        <v>55</v>
      </c>
      <c r="B7" s="8">
        <f>'1. ALL INPUT DATA'!C42</f>
        <v>50.811858632624627</v>
      </c>
      <c r="C7" s="8">
        <f>'1. ALL INPUT DATA'!C43</f>
        <v>51.241226776477582</v>
      </c>
      <c r="D7" s="8">
        <f>'1. ALL INPUT DATA'!C46</f>
        <v>48.755269882956135</v>
      </c>
      <c r="E7" s="8">
        <f>'1. ALL INPUT DATA'!C47</f>
        <v>7.8505607279008967</v>
      </c>
      <c r="F7" s="8">
        <f>'1. ALL INPUT DATA'!C48</f>
        <v>53.299147442515618</v>
      </c>
      <c r="G7" s="8">
        <f>'1. ALL INPUT DATA'!C49</f>
        <v>57.690623434529705</v>
      </c>
    </row>
    <row r="8" spans="1:8" x14ac:dyDescent="0.3">
      <c r="A8" s="3" t="s">
        <v>99</v>
      </c>
      <c r="B8" s="10">
        <f>'1. ALL INPUT DATA'!E42</f>
        <v>0</v>
      </c>
      <c r="C8" s="10">
        <f>'1. ALL INPUT DATA'!E43</f>
        <v>0</v>
      </c>
      <c r="D8" s="10">
        <f>'1. ALL INPUT DATA'!E46</f>
        <v>1</v>
      </c>
      <c r="E8" s="10">
        <f>'1. ALL INPUT DATA'!E47</f>
        <v>1</v>
      </c>
      <c r="F8" s="10">
        <f>'1. ALL INPUT DATA'!E48</f>
        <v>1</v>
      </c>
      <c r="G8" s="10">
        <f>'1. ALL INPUT DATA'!E49</f>
        <v>1</v>
      </c>
    </row>
    <row r="10" spans="1:8" ht="15.6" customHeight="1" x14ac:dyDescent="0.3">
      <c r="A10" s="90" t="s">
        <v>100</v>
      </c>
      <c r="B10" s="79"/>
      <c r="C10" s="79"/>
      <c r="D10" s="79"/>
      <c r="E10" s="79"/>
      <c r="F10" s="79"/>
      <c r="G10" s="79"/>
      <c r="H10" s="79"/>
    </row>
    <row r="11" spans="1:8" x14ac:dyDescent="0.3">
      <c r="A11" s="3" t="s">
        <v>66</v>
      </c>
      <c r="B11" s="14">
        <f>$B$6*'1. ALL INPUT DATA'!B53</f>
        <v>4031.75447259159</v>
      </c>
      <c r="C11" s="14">
        <f>$C$6*'1. ALL INPUT DATA'!C53</f>
        <v>3420.6585544475906</v>
      </c>
      <c r="D11" s="14">
        <f>$D$6*'1. ALL INPUT DATA'!D53</f>
        <v>16074.73868267899</v>
      </c>
      <c r="E11" s="14">
        <f>$E$6*'1. ALL INPUT DATA'!F53</f>
        <v>10645.688508214089</v>
      </c>
      <c r="F11" s="14">
        <f>$F$6*'1. ALL INPUT DATA'!G53</f>
        <v>2766.3382915331458</v>
      </c>
      <c r="G11" s="14">
        <f>$G$6*'1. ALL INPUT DATA'!H53</f>
        <v>2505.5899954600518</v>
      </c>
      <c r="H11" s="15">
        <f>SUM(B11:G11)</f>
        <v>39444.768504925458</v>
      </c>
    </row>
    <row r="12" spans="1:8" x14ac:dyDescent="0.3">
      <c r="A12" s="3" t="s">
        <v>67</v>
      </c>
      <c r="B12" s="14">
        <f>$B$6*'1. ALL INPUT DATA'!B54</f>
        <v>8659.0331103375356</v>
      </c>
      <c r="C12" s="14">
        <f>$C$6*'1. ALL INPUT DATA'!C54</f>
        <v>5530.7283314062533</v>
      </c>
      <c r="D12" s="14">
        <f>$D$6*'1. ALL INPUT DATA'!D54</f>
        <v>194089.88460679702</v>
      </c>
      <c r="E12" s="14">
        <f>$E$6*'1. ALL INPUT DATA'!F54</f>
        <v>39689.323499872087</v>
      </c>
      <c r="F12" s="14">
        <f>$F$6*'1. ALL INPUT DATA'!G54</f>
        <v>2692.7875634935963</v>
      </c>
      <c r="G12" s="14">
        <f>$G$6*'1. ALL INPUT DATA'!H54</f>
        <v>1076.0453843187395</v>
      </c>
      <c r="H12" s="15">
        <f t="shared" ref="H12:H27" si="0">SUM(B12:G12)</f>
        <v>251737.80249622522</v>
      </c>
    </row>
    <row r="13" spans="1:8" x14ac:dyDescent="0.3">
      <c r="A13" s="3" t="s">
        <v>68</v>
      </c>
      <c r="B13" s="14">
        <f>$B$6*'1. ALL INPUT DATA'!B55</f>
        <v>3533.239188388658</v>
      </c>
      <c r="C13" s="14">
        <f>$C$6*'1. ALL INPUT DATA'!C55</f>
        <v>1904.7014785847512</v>
      </c>
      <c r="D13" s="14">
        <f>$D$6*'1. ALL INPUT DATA'!D55</f>
        <v>44081.529810653185</v>
      </c>
      <c r="E13" s="14">
        <f>$E$6*'1. ALL INPUT DATA'!F55</f>
        <v>27.450050994478104</v>
      </c>
      <c r="F13" s="14">
        <f>$F$6*'1. ALL INPUT DATA'!G55</f>
        <v>7396.0218480031826</v>
      </c>
      <c r="G13" s="14">
        <f>$G$6*'1. ALL INPUT DATA'!H55</f>
        <v>2287.0817338245915</v>
      </c>
      <c r="H13" s="15">
        <f t="shared" si="0"/>
        <v>59230.024110448845</v>
      </c>
    </row>
    <row r="14" spans="1:8" x14ac:dyDescent="0.3">
      <c r="A14" s="3" t="s">
        <v>69</v>
      </c>
      <c r="B14" s="14">
        <f>$B$6*'1. ALL INPUT DATA'!B56</f>
        <v>107.27785196030106</v>
      </c>
      <c r="C14" s="14">
        <f>$C$6*'1. ALL INPUT DATA'!C56</f>
        <v>87.30162985783835</v>
      </c>
      <c r="D14" s="14">
        <f>$D$6*'1. ALL INPUT DATA'!D56</f>
        <v>1867.8170091934828</v>
      </c>
      <c r="E14" s="14">
        <f>$E$6*'1. ALL INPUT DATA'!F56</f>
        <v>0</v>
      </c>
      <c r="F14" s="14">
        <f>$F$6*'1. ALL INPUT DATA'!G56</f>
        <v>0</v>
      </c>
      <c r="G14" s="14">
        <f>$G$6*'1. ALL INPUT DATA'!H56</f>
        <v>0</v>
      </c>
      <c r="H14" s="15">
        <f t="shared" si="0"/>
        <v>2062.3964910116224</v>
      </c>
    </row>
    <row r="15" spans="1:8" x14ac:dyDescent="0.3">
      <c r="A15" s="3" t="s">
        <v>70</v>
      </c>
      <c r="B15" s="14">
        <f>$B$6*'1. ALL INPUT DATA'!B57</f>
        <v>4103.6548963004161</v>
      </c>
      <c r="C15" s="14">
        <f>$C$6*'1. ALL INPUT DATA'!C57</f>
        <v>2964.2442148778396</v>
      </c>
      <c r="D15" s="14">
        <f>$D$6*'1. ALL INPUT DATA'!D57</f>
        <v>33870.467130419675</v>
      </c>
      <c r="E15" s="14">
        <f>$E$6*'1. ALL INPUT DATA'!F57</f>
        <v>48.306393241644486</v>
      </c>
      <c r="F15" s="14">
        <f>$F$6*'1. ALL INPUT DATA'!G57</f>
        <v>9011.3845189211515</v>
      </c>
      <c r="G15" s="14">
        <f>$G$6*'1. ALL INPUT DATA'!H57</f>
        <v>7099.8963275469214</v>
      </c>
      <c r="H15" s="15">
        <f t="shared" si="0"/>
        <v>57097.953481307653</v>
      </c>
    </row>
    <row r="16" spans="1:8" x14ac:dyDescent="0.3">
      <c r="A16" s="3" t="s">
        <v>71</v>
      </c>
      <c r="B16" s="14">
        <f>$B$6*'1. ALL INPUT DATA'!B58</f>
        <v>286.26621334448987</v>
      </c>
      <c r="C16" s="14">
        <f>$C$6*'1. ALL INPUT DATA'!C58</f>
        <v>242.37071529003836</v>
      </c>
      <c r="D16" s="14">
        <f>$D$6*'1. ALL INPUT DATA'!D58</f>
        <v>2386.7283674167452</v>
      </c>
      <c r="E16" s="14">
        <f>$E$6*'1. ALL INPUT DATA'!F58</f>
        <v>0</v>
      </c>
      <c r="F16" s="14">
        <f>$F$6*'1. ALL INPUT DATA'!G58</f>
        <v>0</v>
      </c>
      <c r="G16" s="14">
        <f>$G$6*'1. ALL INPUT DATA'!H58</f>
        <v>0</v>
      </c>
      <c r="H16" s="15">
        <f t="shared" si="0"/>
        <v>2915.3652960512736</v>
      </c>
    </row>
    <row r="17" spans="1:8" x14ac:dyDescent="0.3">
      <c r="A17" s="3" t="s">
        <v>72</v>
      </c>
      <c r="B17" s="14">
        <f>$B$6*'1. ALL INPUT DATA'!B59</f>
        <v>0</v>
      </c>
      <c r="C17" s="14">
        <f>$C$6*'1. ALL INPUT DATA'!C59</f>
        <v>0</v>
      </c>
      <c r="D17" s="14">
        <f>$D$6*'1. ALL INPUT DATA'!D59</f>
        <v>25906.318569184721</v>
      </c>
      <c r="E17" s="14">
        <f>$E$6*'1. ALL INPUT DATA'!F59</f>
        <v>31.836362644957621</v>
      </c>
      <c r="F17" s="14">
        <f>$F$6*'1. ALL INPUT DATA'!G59</f>
        <v>3903.475388065121</v>
      </c>
      <c r="G17" s="14">
        <f>$G$6*'1. ALL INPUT DATA'!H59</f>
        <v>3056.4480172520589</v>
      </c>
      <c r="H17" s="15">
        <f t="shared" si="0"/>
        <v>32898.078337146857</v>
      </c>
    </row>
    <row r="18" spans="1:8" x14ac:dyDescent="0.3">
      <c r="A18" s="3" t="s">
        <v>73</v>
      </c>
      <c r="B18" s="14">
        <f>$B$6*'1. ALL INPUT DATA'!B60</f>
        <v>3018.7111413826419</v>
      </c>
      <c r="C18" s="14">
        <f>$C$6*'1. ALL INPUT DATA'!C60</f>
        <v>2630.7542525059121</v>
      </c>
      <c r="D18" s="14">
        <f>$D$6*'1. ALL INPUT DATA'!D60</f>
        <v>34694.62485221641</v>
      </c>
      <c r="E18" s="14">
        <f>$E$6*'1. ALL INPUT DATA'!F60</f>
        <v>24.761189369577515</v>
      </c>
      <c r="F18" s="14">
        <f>$F$6*'1. ALL INPUT DATA'!G60</f>
        <v>2384.6688379066813</v>
      </c>
      <c r="G18" s="14">
        <f>$G$6*'1. ALL INPUT DATA'!H60</f>
        <v>261.09440457991951</v>
      </c>
      <c r="H18" s="15">
        <f t="shared" si="0"/>
        <v>43014.614677961144</v>
      </c>
    </row>
    <row r="19" spans="1:8" x14ac:dyDescent="0.3">
      <c r="A19" s="3" t="s">
        <v>241</v>
      </c>
      <c r="B19" s="14">
        <f>$B$6*'1. ALL INPUT DATA'!B61</f>
        <v>2617.3884000940179</v>
      </c>
      <c r="C19" s="14">
        <f>$C$6*'1. ALL INPUT DATA'!C61</f>
        <v>2014.398655009255</v>
      </c>
      <c r="D19" s="14">
        <f>$D$6*'1. ALL INPUT DATA'!D61</f>
        <v>0</v>
      </c>
      <c r="E19" s="14">
        <f>$E$6*'1. ALL INPUT DATA'!F61</f>
        <v>0</v>
      </c>
      <c r="F19" s="14">
        <f>$F$6*'1. ALL INPUT DATA'!G61</f>
        <v>0</v>
      </c>
      <c r="G19" s="14">
        <f>$G$6*'1. ALL INPUT DATA'!H61</f>
        <v>0</v>
      </c>
      <c r="H19" s="15">
        <f t="shared" si="0"/>
        <v>4631.7870551032729</v>
      </c>
    </row>
    <row r="20" spans="1:8" x14ac:dyDescent="0.3">
      <c r="A20" s="3" t="s">
        <v>334</v>
      </c>
      <c r="B20" s="14">
        <f>$B$6*'1. ALL INPUT DATA'!B62</f>
        <v>0</v>
      </c>
      <c r="C20" s="14">
        <f>$C$6*'1. ALL INPUT DATA'!C62</f>
        <v>0</v>
      </c>
      <c r="D20" s="14">
        <f>$D$6*'1. ALL INPUT DATA'!D62</f>
        <v>0</v>
      </c>
      <c r="E20" s="14">
        <f>$E$6*'1. ALL INPUT DATA'!F62</f>
        <v>0</v>
      </c>
      <c r="F20" s="14">
        <f>$F$6*'1. ALL INPUT DATA'!G62</f>
        <v>0</v>
      </c>
      <c r="G20" s="14">
        <f>$G$6*'1. ALL INPUT DATA'!H62</f>
        <v>0</v>
      </c>
      <c r="H20" s="15">
        <f t="shared" si="0"/>
        <v>0</v>
      </c>
    </row>
    <row r="21" spans="1:8" x14ac:dyDescent="0.3">
      <c r="A21" s="3" t="s">
        <v>335</v>
      </c>
      <c r="B21" s="14">
        <f>$B$6*'1. ALL INPUT DATA'!B63</f>
        <v>1255.2067061820687</v>
      </c>
      <c r="C21" s="14">
        <f>$C$6*'1. ALL INPUT DATA'!C63</f>
        <v>822.1866158956127</v>
      </c>
      <c r="D21" s="14">
        <f>$D$6*'1. ALL INPUT DATA'!D63</f>
        <v>0</v>
      </c>
      <c r="E21" s="14">
        <f>$E$6*'1. ALL INPUT DATA'!F63</f>
        <v>0</v>
      </c>
      <c r="F21" s="14">
        <f>$F$6*'1. ALL INPUT DATA'!G63</f>
        <v>0</v>
      </c>
      <c r="G21" s="14">
        <f>$G$6*'1. ALL INPUT DATA'!H63</f>
        <v>399.6148052586334</v>
      </c>
      <c r="H21" s="15">
        <f t="shared" si="0"/>
        <v>2477.0081273363148</v>
      </c>
    </row>
    <row r="22" spans="1:8" x14ac:dyDescent="0.3">
      <c r="A22" s="3" t="s">
        <v>214</v>
      </c>
      <c r="B22" s="14">
        <f>$B$6*'1. ALL INPUT DATA'!B64</f>
        <v>1285.1091284812615</v>
      </c>
      <c r="C22" s="14">
        <f>$C$6*'1. ALL INPUT DATA'!C64</f>
        <v>926.7122260454255</v>
      </c>
      <c r="D22" s="14">
        <f>$D$6*'1. ALL INPUT DATA'!D64</f>
        <v>0</v>
      </c>
      <c r="E22" s="14">
        <f>$E$6*'1. ALL INPUT DATA'!F64</f>
        <v>0</v>
      </c>
      <c r="F22" s="14">
        <f>$F$6*'1. ALL INPUT DATA'!G64</f>
        <v>0</v>
      </c>
      <c r="G22" s="14">
        <f>$G$6*'1. ALL INPUT DATA'!H64</f>
        <v>0</v>
      </c>
      <c r="H22" s="15">
        <f t="shared" si="0"/>
        <v>2211.8213545266872</v>
      </c>
    </row>
    <row r="23" spans="1:8" x14ac:dyDescent="0.3">
      <c r="A23" s="3" t="s">
        <v>74</v>
      </c>
      <c r="B23" s="14">
        <f>$B$6*'1. ALL INPUT DATA'!B65</f>
        <v>0</v>
      </c>
      <c r="C23" s="14">
        <f>$C$6*'1. ALL INPUT DATA'!C65</f>
        <v>0</v>
      </c>
      <c r="D23" s="14">
        <f>$D$6*'1. ALL INPUT DATA'!D65</f>
        <v>15659.191158760492</v>
      </c>
      <c r="E23" s="14">
        <f>$E$6*'1. ALL INPUT DATA'!F65</f>
        <v>152.02789273090767</v>
      </c>
      <c r="F23" s="14">
        <f>$F$6*'1. ALL INPUT DATA'!G65</f>
        <v>1632.6679965215656</v>
      </c>
      <c r="G23" s="14">
        <f>$G$6*'1. ALL INPUT DATA'!H65</f>
        <v>19.160188293225779</v>
      </c>
      <c r="H23" s="15">
        <f t="shared" si="0"/>
        <v>17463.047236306193</v>
      </c>
    </row>
    <row r="24" spans="1:8" x14ac:dyDescent="0.3">
      <c r="A24" s="3" t="s">
        <v>215</v>
      </c>
      <c r="B24" s="14">
        <f>$B$6*'1. ALL INPUT DATA'!B66</f>
        <v>0.44366997935172331</v>
      </c>
      <c r="C24" s="14">
        <f>$C$6*'1. ALL INPUT DATA'!C66</f>
        <v>0.32339438037286888</v>
      </c>
      <c r="D24" s="14">
        <f>$D$6*'1. ALL INPUT DATA'!D66</f>
        <v>0</v>
      </c>
      <c r="E24" s="14">
        <f>$E$6*'1. ALL INPUT DATA'!F66</f>
        <v>0</v>
      </c>
      <c r="F24" s="14">
        <f>$F$6*'1. ALL INPUT DATA'!G66</f>
        <v>0</v>
      </c>
      <c r="G24" s="14">
        <f>$G$6*'1. ALL INPUT DATA'!H66</f>
        <v>0</v>
      </c>
      <c r="H24" s="15">
        <f t="shared" si="0"/>
        <v>0.76706435972459219</v>
      </c>
    </row>
    <row r="25" spans="1:8" x14ac:dyDescent="0.3">
      <c r="A25" s="3" t="s">
        <v>75</v>
      </c>
      <c r="B25" s="14">
        <f>$B$6*'1. ALL INPUT DATA'!B67</f>
        <v>740.67374163646127</v>
      </c>
      <c r="C25" s="14">
        <f>$C$6*'1. ALL INPUT DATA'!C67</f>
        <v>185.59659091567016</v>
      </c>
      <c r="D25" s="14">
        <f>$D$6*'1. ALL INPUT DATA'!D67</f>
        <v>0</v>
      </c>
      <c r="E25" s="14">
        <f>$E$6*'1. ALL INPUT DATA'!F67</f>
        <v>65029.845981011182</v>
      </c>
      <c r="F25" s="14">
        <f>$F$6*'1. ALL INPUT DATA'!G67</f>
        <v>0</v>
      </c>
      <c r="G25" s="14">
        <f>$G$6*'1. ALL INPUT DATA'!H67</f>
        <v>0</v>
      </c>
      <c r="H25" s="15">
        <f t="shared" si="0"/>
        <v>65956.116313563311</v>
      </c>
    </row>
    <row r="26" spans="1:8" x14ac:dyDescent="0.3">
      <c r="A26" s="3" t="s">
        <v>76</v>
      </c>
      <c r="B26" s="14">
        <f>$B$6*'1. ALL INPUT DATA'!B68</f>
        <v>1503.2337215983509</v>
      </c>
      <c r="C26" s="14">
        <f>$C$6*'1. ALL INPUT DATA'!C68</f>
        <v>1557.3409093868315</v>
      </c>
      <c r="D26" s="14">
        <f>$D$6*'1. ALL INPUT DATA'!D68</f>
        <v>19044.24425712369</v>
      </c>
      <c r="E26" s="14">
        <f>$E$6*'1. ALL INPUT DATA'!F68</f>
        <v>386642.34901080996</v>
      </c>
      <c r="F26" s="14">
        <f>$F$6*'1. ALL INPUT DATA'!G68</f>
        <v>0</v>
      </c>
      <c r="G26" s="14">
        <f>$G$6*'1. ALL INPUT DATA'!H68</f>
        <v>0</v>
      </c>
      <c r="H26" s="15">
        <f t="shared" si="0"/>
        <v>408747.16789891885</v>
      </c>
    </row>
    <row r="27" spans="1:8" x14ac:dyDescent="0.3">
      <c r="A27" s="3" t="s">
        <v>77</v>
      </c>
      <c r="B27" s="14">
        <f>$B$6*'1. ALL INPUT DATA'!B69</f>
        <v>1834.0077577228631</v>
      </c>
      <c r="C27" s="14">
        <f>$C$6*'1. ALL INPUT DATA'!C69</f>
        <v>1624.6824313966049</v>
      </c>
      <c r="D27" s="14">
        <f>$D$6*'1. ALL INPUT DATA'!D69</f>
        <v>0</v>
      </c>
      <c r="E27" s="14">
        <f>$E$6*'1. ALL INPUT DATA'!F69</f>
        <v>0</v>
      </c>
      <c r="F27" s="14">
        <f>$F$6*'1. ALL INPUT DATA'!G69</f>
        <v>0</v>
      </c>
      <c r="G27" s="14">
        <f>$G$6*'1. ALL INPUT DATA'!H69</f>
        <v>0</v>
      </c>
      <c r="H27" s="15">
        <f t="shared" si="0"/>
        <v>3458.690189119468</v>
      </c>
    </row>
    <row r="29" spans="1:8" ht="15.6" customHeight="1" x14ac:dyDescent="0.3">
      <c r="A29" s="90" t="s">
        <v>336</v>
      </c>
      <c r="B29" s="79"/>
      <c r="C29" s="79"/>
      <c r="D29" s="79"/>
      <c r="E29" s="79"/>
      <c r="F29" s="79"/>
      <c r="G29" s="79"/>
      <c r="H29" s="79"/>
    </row>
    <row r="30" spans="1:8" x14ac:dyDescent="0.3">
      <c r="A30" s="3" t="s">
        <v>101</v>
      </c>
      <c r="B30" s="14">
        <f>B13+B14</f>
        <v>3640.5170403489592</v>
      </c>
      <c r="C30" s="14">
        <f t="shared" ref="C30:G30" si="1">C13+C14</f>
        <v>1992.0031084425896</v>
      </c>
      <c r="D30" s="14">
        <f t="shared" si="1"/>
        <v>45949.346819846665</v>
      </c>
      <c r="E30" s="14">
        <f t="shared" si="1"/>
        <v>27.450050994478104</v>
      </c>
      <c r="F30" s="14">
        <f t="shared" si="1"/>
        <v>7396.0218480031826</v>
      </c>
      <c r="G30" s="14">
        <f t="shared" si="1"/>
        <v>2287.0817338245915</v>
      </c>
      <c r="H30" s="15">
        <f>SUM(B30:F30)</f>
        <v>59005.338867635874</v>
      </c>
    </row>
    <row r="31" spans="1:8" x14ac:dyDescent="0.3">
      <c r="A31" s="3" t="s">
        <v>102</v>
      </c>
      <c r="B31" s="14">
        <f>B15+B16</f>
        <v>4389.9211096449062</v>
      </c>
      <c r="C31" s="14">
        <f t="shared" ref="C31:G31" si="2">C15+C16</f>
        <v>3206.6149301678779</v>
      </c>
      <c r="D31" s="14">
        <f t="shared" si="2"/>
        <v>36257.195497836423</v>
      </c>
      <c r="E31" s="14">
        <f t="shared" si="2"/>
        <v>48.306393241644486</v>
      </c>
      <c r="F31" s="14">
        <f t="shared" si="2"/>
        <v>9011.3845189211515</v>
      </c>
      <c r="G31" s="14">
        <f t="shared" si="2"/>
        <v>7099.8963275469214</v>
      </c>
      <c r="H31" s="15">
        <f>SUM(B31:F31)</f>
        <v>52913.422449812002</v>
      </c>
    </row>
    <row r="32" spans="1:8" x14ac:dyDescent="0.3">
      <c r="A32" s="3" t="s">
        <v>103</v>
      </c>
      <c r="B32" s="14">
        <f>B17+B18</f>
        <v>3018.7111413826419</v>
      </c>
      <c r="C32" s="14">
        <f t="shared" ref="C32:G32" si="3">C17+C18</f>
        <v>2630.7542525059121</v>
      </c>
      <c r="D32" s="14">
        <f t="shared" si="3"/>
        <v>60600.943421401127</v>
      </c>
      <c r="E32" s="14">
        <f t="shared" si="3"/>
        <v>56.59755201453514</v>
      </c>
      <c r="F32" s="14">
        <f t="shared" si="3"/>
        <v>6288.1442259718024</v>
      </c>
      <c r="G32" s="14">
        <f t="shared" si="3"/>
        <v>3317.5424218319786</v>
      </c>
      <c r="H32" s="15">
        <f>SUM(B32:F32)</f>
        <v>72595.150593276019</v>
      </c>
    </row>
    <row r="33" spans="1:8" x14ac:dyDescent="0.3">
      <c r="A33" s="3" t="s">
        <v>104</v>
      </c>
      <c r="B33" s="15">
        <f>B31+B32</f>
        <v>7408.6322510275477</v>
      </c>
      <c r="C33" s="15">
        <f t="shared" ref="C33:G33" si="4">C31+C32</f>
        <v>5837.3691826737904</v>
      </c>
      <c r="D33" s="15">
        <f t="shared" si="4"/>
        <v>96858.13891923755</v>
      </c>
      <c r="E33" s="15">
        <f t="shared" si="4"/>
        <v>104.90394525617963</v>
      </c>
      <c r="F33" s="15">
        <f t="shared" si="4"/>
        <v>15299.528744892954</v>
      </c>
      <c r="G33" s="15">
        <f t="shared" si="4"/>
        <v>10417.4387493789</v>
      </c>
      <c r="H33" s="15">
        <f>SUM(B33:F33)</f>
        <v>125508.57304308804</v>
      </c>
    </row>
    <row r="34" spans="1:8" x14ac:dyDescent="0.3">
      <c r="A34" s="3" t="s">
        <v>74</v>
      </c>
      <c r="B34" s="15">
        <f>B20+B21+B22+B23</f>
        <v>2540.31583466333</v>
      </c>
      <c r="C34" s="15">
        <f t="shared" ref="C34:G34" si="5">C20+C21+C22+C23</f>
        <v>1748.8988419410382</v>
      </c>
      <c r="D34" s="15">
        <f t="shared" si="5"/>
        <v>15659.191158760492</v>
      </c>
      <c r="E34" s="15">
        <f t="shared" si="5"/>
        <v>152.02789273090767</v>
      </c>
      <c r="F34" s="15">
        <f t="shared" si="5"/>
        <v>1632.6679965215656</v>
      </c>
      <c r="G34" s="15">
        <f t="shared" si="5"/>
        <v>418.77499355185915</v>
      </c>
      <c r="H34" s="15">
        <f>SUM(B34:F34)</f>
        <v>21733.101724617332</v>
      </c>
    </row>
    <row r="36" spans="1:8" ht="15.6" customHeight="1" x14ac:dyDescent="0.3">
      <c r="A36" s="90" t="s">
        <v>105</v>
      </c>
      <c r="B36" s="79"/>
      <c r="C36" s="79"/>
      <c r="D36" s="79"/>
      <c r="E36" s="79"/>
      <c r="F36" s="79"/>
      <c r="G36" s="79"/>
      <c r="H36" s="79"/>
    </row>
    <row r="37" spans="1:8" x14ac:dyDescent="0.3">
      <c r="A37" s="3" t="s">
        <v>106</v>
      </c>
      <c r="B37" s="14">
        <f>B5*B7</f>
        <v>209446.4812836787</v>
      </c>
      <c r="C37" s="14">
        <f t="shared" ref="C37:F37" si="6">C5*C7</f>
        <v>153160.0268348915</v>
      </c>
      <c r="D37" s="14">
        <f t="shared" si="6"/>
        <v>2362653.2245513559</v>
      </c>
      <c r="E37" s="14">
        <f t="shared" si="6"/>
        <v>492908.82771075668</v>
      </c>
      <c r="F37" s="14">
        <f t="shared" si="6"/>
        <v>198455.00793318037</v>
      </c>
      <c r="G37" s="14">
        <f t="shared" ref="G37" si="7">G5*G7</f>
        <v>120464.73444302089</v>
      </c>
    </row>
    <row r="38" spans="1:8" x14ac:dyDescent="0.3">
      <c r="A38" s="3" t="s">
        <v>107</v>
      </c>
      <c r="B38" s="18">
        <f>B37*'1. ALL INPUT DATA'!$B$7</f>
        <v>198.51693301936456</v>
      </c>
      <c r="C38" s="18">
        <f>C37*'1. ALL INPUT DATA'!$B$7</f>
        <v>145.16767530338817</v>
      </c>
      <c r="D38" s="18">
        <f>D37*'1. ALL INPUT DATA'!$B$7</f>
        <v>2239.3628627782373</v>
      </c>
      <c r="E38" s="18">
        <f>E37*'1. ALL INPUT DATA'!$B$7</f>
        <v>467.18736039675304</v>
      </c>
      <c r="F38" s="18">
        <f>F37*'1. ALL INPUT DATA'!$B$7</f>
        <v>188.09902785556443</v>
      </c>
      <c r="G38" s="18">
        <f>G37*'1. ALL INPUT DATA'!$B$7</f>
        <v>114.17852174957622</v>
      </c>
    </row>
    <row r="39" spans="1:8" x14ac:dyDescent="0.3">
      <c r="A39" s="3" t="s">
        <v>108</v>
      </c>
      <c r="B39" s="18">
        <f t="shared" ref="B39:G39" si="8">B38*B8</f>
        <v>0</v>
      </c>
      <c r="C39" s="18">
        <f t="shared" si="8"/>
        <v>0</v>
      </c>
      <c r="D39" s="18">
        <f t="shared" si="8"/>
        <v>2239.3628627782373</v>
      </c>
      <c r="E39" s="18">
        <f t="shared" si="8"/>
        <v>467.18736039675304</v>
      </c>
      <c r="F39" s="18">
        <f t="shared" si="8"/>
        <v>188.09902785556443</v>
      </c>
      <c r="G39" s="18">
        <f t="shared" si="8"/>
        <v>114.17852174957622</v>
      </c>
    </row>
    <row r="40" spans="1:8" ht="15" thickBot="1" x14ac:dyDescent="0.35">
      <c r="A40" s="3" t="s">
        <v>109</v>
      </c>
      <c r="B40" s="14">
        <f>B39*'1. ALL INPUT DATA'!$B$8</f>
        <v>0</v>
      </c>
      <c r="C40" s="14">
        <f>C39*'1. ALL INPUT DATA'!$B$8</f>
        <v>0</v>
      </c>
      <c r="D40" s="14">
        <f>D39*'1. ALL INPUT DATA'!$B$8</f>
        <v>17914902.902225897</v>
      </c>
      <c r="E40" s="14">
        <f>E39*'1. ALL INPUT DATA'!$B$8</f>
        <v>3737498.8831740241</v>
      </c>
      <c r="F40" s="14">
        <f>F39*'1. ALL INPUT DATA'!$B$8</f>
        <v>1504792.2228445155</v>
      </c>
      <c r="G40" s="14">
        <f>G39*'1. ALL INPUT DATA'!$B$8</f>
        <v>913428.17399660975</v>
      </c>
      <c r="H40" s="69">
        <f>SUM(B40:G40)</f>
        <v>24070622.182241045</v>
      </c>
    </row>
    <row r="41" spans="1:8" ht="15" thickBot="1" x14ac:dyDescent="0.35">
      <c r="A41" s="16" t="s">
        <v>110</v>
      </c>
      <c r="B41" s="70">
        <f>B40*'1. ALL INPUT DATA'!$B$6</f>
        <v>0</v>
      </c>
      <c r="C41" s="70">
        <f>C40*'1. ALL INPUT DATA'!$B$6</f>
        <v>0</v>
      </c>
      <c r="D41" s="70">
        <f>D40*'1. ALL INPUT DATA'!$B$6</f>
        <v>85095788.785573006</v>
      </c>
      <c r="E41" s="70">
        <f>E40*'1. ALL INPUT DATA'!$B$6</f>
        <v>17753119.695076615</v>
      </c>
      <c r="F41" s="70">
        <f>F40*'1. ALL INPUT DATA'!$B$6</f>
        <v>7147763.0585114481</v>
      </c>
      <c r="G41" s="70">
        <f>G40*'1. ALL INPUT DATA'!$B$6</f>
        <v>4338783.826483896</v>
      </c>
      <c r="H41" s="19">
        <f>SUM(B41:G41)</f>
        <v>114335455.36564496</v>
      </c>
    </row>
    <row r="43" spans="1:8" ht="15.6" customHeight="1" x14ac:dyDescent="0.3">
      <c r="A43" s="90" t="s">
        <v>111</v>
      </c>
      <c r="B43" s="79"/>
      <c r="C43" s="79"/>
      <c r="D43" s="79"/>
      <c r="E43" s="79"/>
      <c r="F43" s="79"/>
      <c r="G43" s="79"/>
      <c r="H43" s="79"/>
    </row>
    <row r="44" spans="1:8" x14ac:dyDescent="0.3">
      <c r="A44" s="3" t="s">
        <v>112</v>
      </c>
      <c r="B44" s="20">
        <f>B11*'1. ALL INPUT DATA'!$B$12</f>
        <v>8063508.9451831803</v>
      </c>
      <c r="C44" s="20">
        <f>C11*'1. ALL INPUT DATA'!$B$12</f>
        <v>6841317.1088951817</v>
      </c>
      <c r="D44" s="20">
        <f>D11*'1. ALL INPUT DATA'!$B$12</f>
        <v>32149477.36535798</v>
      </c>
      <c r="E44" s="20">
        <f>E11*'1. ALL INPUT DATA'!$B$12</f>
        <v>21291377.016428176</v>
      </c>
      <c r="F44" s="20">
        <f>F11*'1. ALL INPUT DATA'!$B$12</f>
        <v>5532676.5830662921</v>
      </c>
      <c r="G44" s="20">
        <f>G11*'1. ALL INPUT DATA'!$B$12</f>
        <v>5011179.9909201032</v>
      </c>
      <c r="H44" s="20">
        <f>SUM(B44:G44)</f>
        <v>78889537.009850919</v>
      </c>
    </row>
    <row r="45" spans="1:8" x14ac:dyDescent="0.3">
      <c r="A45" s="3" t="s">
        <v>113</v>
      </c>
      <c r="B45" s="20">
        <f>B30*'1. ALL INPUT DATA'!$B$13</f>
        <v>1456206.8161395837</v>
      </c>
      <c r="C45" s="20">
        <f>C30*'1. ALL INPUT DATA'!$B$13</f>
        <v>796801.24337703583</v>
      </c>
      <c r="D45" s="20">
        <f>D30*'1. ALL INPUT DATA'!$B$13</f>
        <v>18379738.727938667</v>
      </c>
      <c r="E45" s="20">
        <f>E30*'1. ALL INPUT DATA'!$B$13</f>
        <v>10980.020397791242</v>
      </c>
      <c r="F45" s="20">
        <f>F30*'1. ALL INPUT DATA'!$B$13</f>
        <v>2958408.7392012728</v>
      </c>
      <c r="G45" s="20">
        <f>G30*'1. ALL INPUT DATA'!$B$13</f>
        <v>914832.6935298366</v>
      </c>
      <c r="H45" s="20">
        <f>SUM(B45:G45)</f>
        <v>24516968.240584187</v>
      </c>
    </row>
    <row r="46" spans="1:8" x14ac:dyDescent="0.3">
      <c r="A46" s="3" t="s">
        <v>114</v>
      </c>
      <c r="B46" s="20">
        <f>B33*'1. ALL INPUT DATA'!$B$15</f>
        <v>5400892.910999082</v>
      </c>
      <c r="C46" s="20">
        <f>C33*'1. ALL INPUT DATA'!$B$15</f>
        <v>4255442.134169193</v>
      </c>
      <c r="D46" s="20">
        <f>D33*'1. ALL INPUT DATA'!$B$15</f>
        <v>70609583.272124171</v>
      </c>
      <c r="E46" s="20">
        <f>E33*'1. ALL INPUT DATA'!$B$15</f>
        <v>76474.976091754943</v>
      </c>
      <c r="F46" s="20">
        <f>F33*'1. ALL INPUT DATA'!$B$15</f>
        <v>11153356.455026964</v>
      </c>
      <c r="G46" s="20">
        <f>G33*'1. ALL INPUT DATA'!$B$15</f>
        <v>7594312.8482972179</v>
      </c>
      <c r="H46" s="20">
        <f>SUM(B46:G46)</f>
        <v>99090062.596708402</v>
      </c>
    </row>
    <row r="47" spans="1:8" x14ac:dyDescent="0.3">
      <c r="A47" s="3" t="s">
        <v>115</v>
      </c>
      <c r="B47" s="20">
        <f>B23*'1. ALL INPUT DATA'!$B$16</f>
        <v>0</v>
      </c>
      <c r="C47" s="20">
        <f>C23*'1. ALL INPUT DATA'!$B$16</f>
        <v>0</v>
      </c>
      <c r="D47" s="20">
        <f>D23*'1. ALL INPUT DATA'!$B$16</f>
        <v>9708698.5184315052</v>
      </c>
      <c r="E47" s="20">
        <f>E23*'1. ALL INPUT DATA'!$B$16</f>
        <v>94257.293493162753</v>
      </c>
      <c r="F47" s="20">
        <f>F23*'1. ALL INPUT DATA'!$B$16</f>
        <v>1012254.1578433707</v>
      </c>
      <c r="G47" s="20">
        <f>G23*'1. ALL INPUT DATA'!$B$16</f>
        <v>11879.316741799983</v>
      </c>
      <c r="H47" s="20">
        <f>SUM(B47:G47)</f>
        <v>10827089.286509838</v>
      </c>
    </row>
    <row r="48" spans="1:8" x14ac:dyDescent="0.3">
      <c r="A48" s="16" t="s">
        <v>116</v>
      </c>
      <c r="B48" s="19">
        <f>SUM(B44:B47)</f>
        <v>14920608.672321847</v>
      </c>
      <c r="C48" s="19">
        <f t="shared" ref="C48:G48" si="9">SUM(C44:C47)</f>
        <v>11893560.486441411</v>
      </c>
      <c r="D48" s="19">
        <f t="shared" si="9"/>
        <v>130847497.88385232</v>
      </c>
      <c r="E48" s="19">
        <f t="shared" si="9"/>
        <v>21473089.306410883</v>
      </c>
      <c r="F48" s="19">
        <f t="shared" si="9"/>
        <v>20656695.935137901</v>
      </c>
      <c r="G48" s="19">
        <f t="shared" si="9"/>
        <v>13532204.849488957</v>
      </c>
      <c r="H48" s="19">
        <f>SUM(H44:H47)</f>
        <v>213323657.13365337</v>
      </c>
    </row>
    <row r="50" spans="1:8" ht="15.6" customHeight="1" x14ac:dyDescent="0.3">
      <c r="A50" s="90" t="s">
        <v>117</v>
      </c>
      <c r="B50" s="79"/>
      <c r="C50" s="79"/>
      <c r="D50" s="79"/>
      <c r="E50" s="79"/>
      <c r="F50" s="79"/>
      <c r="G50" s="79"/>
      <c r="H50" s="79"/>
    </row>
    <row r="51" spans="1:8" x14ac:dyDescent="0.3">
      <c r="A51" s="3" t="s">
        <v>118</v>
      </c>
      <c r="B51" s="6">
        <f>B48</f>
        <v>14920608.672321847</v>
      </c>
      <c r="C51" s="6">
        <f t="shared" ref="C51:G51" si="10">C48</f>
        <v>11893560.486441411</v>
      </c>
      <c r="D51" s="6">
        <f t="shared" si="10"/>
        <v>130847497.88385232</v>
      </c>
      <c r="E51" s="6">
        <f t="shared" si="10"/>
        <v>21473089.306410883</v>
      </c>
      <c r="F51" s="6">
        <f t="shared" si="10"/>
        <v>20656695.935137901</v>
      </c>
      <c r="G51" s="6">
        <f t="shared" si="10"/>
        <v>13532204.849488957</v>
      </c>
      <c r="H51" s="6">
        <f>H48</f>
        <v>213323657.13365337</v>
      </c>
    </row>
    <row r="52" spans="1:8" x14ac:dyDescent="0.3">
      <c r="A52" s="3" t="s">
        <v>119</v>
      </c>
      <c r="B52" s="6">
        <f t="shared" ref="B52:H52" si="11">B41</f>
        <v>0</v>
      </c>
      <c r="C52" s="6">
        <f t="shared" si="11"/>
        <v>0</v>
      </c>
      <c r="D52" s="6">
        <f t="shared" si="11"/>
        <v>85095788.785573006</v>
      </c>
      <c r="E52" s="6">
        <f t="shared" si="11"/>
        <v>17753119.695076615</v>
      </c>
      <c r="F52" s="6">
        <f t="shared" si="11"/>
        <v>7147763.0585114481</v>
      </c>
      <c r="G52" s="6">
        <f t="shared" si="11"/>
        <v>4338783.826483896</v>
      </c>
      <c r="H52" s="6">
        <f t="shared" si="11"/>
        <v>114335455.36564496</v>
      </c>
    </row>
    <row r="53" spans="1:8" x14ac:dyDescent="0.3">
      <c r="A53" s="16" t="s">
        <v>120</v>
      </c>
      <c r="B53" s="19">
        <f>B51-B52</f>
        <v>14920608.672321847</v>
      </c>
      <c r="C53" s="19">
        <f t="shared" ref="C53:G53" si="12">C51-C52</f>
        <v>11893560.486441411</v>
      </c>
      <c r="D53" s="19">
        <f t="shared" si="12"/>
        <v>45751709.098279312</v>
      </c>
      <c r="E53" s="19">
        <f t="shared" si="12"/>
        <v>3719969.611334268</v>
      </c>
      <c r="F53" s="19">
        <f t="shared" si="12"/>
        <v>13508932.876626454</v>
      </c>
      <c r="G53" s="19">
        <f t="shared" si="12"/>
        <v>9193421.0230050609</v>
      </c>
      <c r="H53" s="19">
        <f>H51-H52</f>
        <v>98988201.768008411</v>
      </c>
    </row>
    <row r="54" spans="1:8" x14ac:dyDescent="0.3">
      <c r="A54" s="3" t="s">
        <v>121</v>
      </c>
      <c r="B54" s="10">
        <f>IF(B41&gt;0,B53/B41,0)</f>
        <v>0</v>
      </c>
      <c r="C54" s="10">
        <f t="shared" ref="C54:G54" si="13">IF(C41&gt;0,C53/C41,0)</f>
        <v>0</v>
      </c>
      <c r="D54" s="10">
        <f t="shared" si="13"/>
        <v>0.53764950946710044</v>
      </c>
      <c r="E54" s="10">
        <f t="shared" si="13"/>
        <v>0.20953892472013858</v>
      </c>
      <c r="F54" s="10">
        <f t="shared" si="13"/>
        <v>1.8899525300492748</v>
      </c>
      <c r="G54" s="10">
        <f t="shared" si="13"/>
        <v>2.1188935403714986</v>
      </c>
    </row>
  </sheetData>
  <mergeCells count="6">
    <mergeCell ref="A10:H10"/>
    <mergeCell ref="A36:H36"/>
    <mergeCell ref="A50:H50"/>
    <mergeCell ref="A1:H1"/>
    <mergeCell ref="A29:H29"/>
    <mergeCell ref="A43:H4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topLeftCell="A21" workbookViewId="0">
      <selection sqref="A1:C23"/>
    </sheetView>
  </sheetViews>
  <sheetFormatPr defaultRowHeight="14.4" x14ac:dyDescent="0.3"/>
  <cols>
    <col min="1" max="1" width="40" customWidth="1"/>
    <col min="2" max="2" width="20" customWidth="1"/>
    <col min="3" max="3" width="40" customWidth="1"/>
  </cols>
  <sheetData>
    <row r="1" spans="1:3" ht="18" customHeight="1" x14ac:dyDescent="0.3">
      <c r="A1" s="89" t="s">
        <v>122</v>
      </c>
      <c r="B1" s="79"/>
      <c r="C1" s="79"/>
    </row>
    <row r="3" spans="1:3" x14ac:dyDescent="0.3">
      <c r="A3" s="21" t="s">
        <v>3</v>
      </c>
      <c r="B3" s="21" t="s">
        <v>123</v>
      </c>
      <c r="C3" s="21" t="s">
        <v>80</v>
      </c>
    </row>
    <row r="4" spans="1:3" x14ac:dyDescent="0.3">
      <c r="A4" t="s">
        <v>124</v>
      </c>
      <c r="B4" s="22">
        <f>'2. Stream Calculations'!H31</f>
        <v>52913.422449812002</v>
      </c>
    </row>
    <row r="5" spans="1:3" x14ac:dyDescent="0.3">
      <c r="A5" t="s">
        <v>125</v>
      </c>
      <c r="B5" s="22">
        <f>'2. Stream Calculations'!H32</f>
        <v>72595.150593276019</v>
      </c>
    </row>
    <row r="6" spans="1:3" x14ac:dyDescent="0.3">
      <c r="A6" t="s">
        <v>126</v>
      </c>
      <c r="B6" s="17">
        <f>B4+B5</f>
        <v>125508.57304308802</v>
      </c>
    </row>
    <row r="7" spans="1:3" x14ac:dyDescent="0.3">
      <c r="A7" t="s">
        <v>127</v>
      </c>
      <c r="B7" s="22">
        <f>'2. Stream Calculations'!H34</f>
        <v>21733.101724617332</v>
      </c>
    </row>
    <row r="9" spans="1:3" x14ac:dyDescent="0.3">
      <c r="A9" t="s">
        <v>114</v>
      </c>
      <c r="B9" s="20">
        <f>B6*'1. ALL INPUT DATA'!B15</f>
        <v>91495749.748411164</v>
      </c>
    </row>
    <row r="10" spans="1:3" x14ac:dyDescent="0.3">
      <c r="A10" t="s">
        <v>115</v>
      </c>
      <c r="B10" s="20">
        <f>B7*'1. ALL INPUT DATA'!B16</f>
        <v>13474523.069262747</v>
      </c>
    </row>
    <row r="11" spans="1:3" x14ac:dyDescent="0.3">
      <c r="A11" t="s">
        <v>128</v>
      </c>
      <c r="B11" s="20">
        <f>B9+B10</f>
        <v>104970272.81767391</v>
      </c>
    </row>
    <row r="13" spans="1:3" x14ac:dyDescent="0.3">
      <c r="A13" t="s">
        <v>337</v>
      </c>
      <c r="B13" s="74">
        <f>'Heat Content Calculations'!H328</f>
        <v>43.409592956556047</v>
      </c>
      <c r="C13" t="s">
        <v>339</v>
      </c>
    </row>
    <row r="14" spans="1:3" x14ac:dyDescent="0.3">
      <c r="A14" t="s">
        <v>354</v>
      </c>
      <c r="B14" s="75">
        <f>('2. Stream Calculations'!D33+'2. Stream Calculations'!E33+'2. Stream Calculations'!F33+'2. Stream Calculations'!G33)*B13</f>
        <v>5325489.3135800939</v>
      </c>
      <c r="C14" t="s">
        <v>355</v>
      </c>
    </row>
    <row r="15" spans="1:3" x14ac:dyDescent="0.3">
      <c r="A15" t="s">
        <v>338</v>
      </c>
      <c r="B15" s="74">
        <f>'Heat Content Calculations'!H396</f>
        <v>40.577162432448993</v>
      </c>
      <c r="C15" t="s">
        <v>339</v>
      </c>
    </row>
    <row r="16" spans="1:3" x14ac:dyDescent="0.3">
      <c r="A16" t="s">
        <v>358</v>
      </c>
      <c r="B16" s="76">
        <f>('2. Stream Calculations'!D34+'2. Stream Calculations'!E34+'2. Stream Calculations'!F34+'2. Stream Calculations'!G34)*B15</f>
        <v>724816.13913651684</v>
      </c>
      <c r="C16" t="s">
        <v>355</v>
      </c>
    </row>
    <row r="17" spans="1:3" x14ac:dyDescent="0.3">
      <c r="B17" s="76"/>
    </row>
    <row r="18" spans="1:3" x14ac:dyDescent="0.3">
      <c r="A18" t="s">
        <v>359</v>
      </c>
      <c r="B18" s="71">
        <f>B16+B14</f>
        <v>6050305.4527166104</v>
      </c>
      <c r="C18" t="s">
        <v>340</v>
      </c>
    </row>
    <row r="20" spans="1:3" x14ac:dyDescent="0.3">
      <c r="A20" t="s">
        <v>341</v>
      </c>
      <c r="B20" s="6">
        <f>B18*'1. ALL INPUT DATA'!B6</f>
        <v>28738950.900403898</v>
      </c>
    </row>
    <row r="22" spans="1:3" x14ac:dyDescent="0.3">
      <c r="A22" t="s">
        <v>364</v>
      </c>
      <c r="B22" s="19">
        <f>B11-B20</f>
        <v>76231321.917270005</v>
      </c>
    </row>
  </sheetData>
  <mergeCells count="1">
    <mergeCell ref="A1:C1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workbookViewId="0">
      <selection sqref="A1:C21"/>
    </sheetView>
  </sheetViews>
  <sheetFormatPr defaultRowHeight="14.4" x14ac:dyDescent="0.3"/>
  <cols>
    <col min="1" max="1" width="45" customWidth="1"/>
    <col min="2" max="2" width="20" customWidth="1"/>
    <col min="3" max="3" width="40" customWidth="1"/>
  </cols>
  <sheetData>
    <row r="1" spans="1:3" ht="18" customHeight="1" x14ac:dyDescent="0.3">
      <c r="A1" s="89" t="s">
        <v>129</v>
      </c>
      <c r="B1" s="79"/>
      <c r="C1" s="79"/>
    </row>
    <row r="3" spans="1:3" x14ac:dyDescent="0.3">
      <c r="A3" s="21" t="s">
        <v>3</v>
      </c>
      <c r="B3" s="21" t="s">
        <v>123</v>
      </c>
      <c r="C3" s="21" t="s">
        <v>80</v>
      </c>
    </row>
    <row r="4" spans="1:3" x14ac:dyDescent="0.3">
      <c r="A4" t="s">
        <v>342</v>
      </c>
      <c r="B4" s="72">
        <f>'2. Stream Calculations'!D11</f>
        <v>16074.73868267899</v>
      </c>
    </row>
    <row r="5" spans="1:3" x14ac:dyDescent="0.3">
      <c r="A5" t="s">
        <v>343</v>
      </c>
      <c r="B5" s="72">
        <f>'2. Stream Calculations'!B11</f>
        <v>4031.75447259159</v>
      </c>
    </row>
    <row r="6" spans="1:3" x14ac:dyDescent="0.3">
      <c r="A6" t="s">
        <v>344</v>
      </c>
      <c r="B6" s="72">
        <f>'2. Stream Calculations'!C11</f>
        <v>3420.6585544475906</v>
      </c>
    </row>
    <row r="7" spans="1:3" x14ac:dyDescent="0.3">
      <c r="A7" t="s">
        <v>130</v>
      </c>
      <c r="B7" s="72">
        <f>'2. Stream Calculations'!E11</f>
        <v>10645.688508214089</v>
      </c>
    </row>
    <row r="8" spans="1:3" x14ac:dyDescent="0.3">
      <c r="A8" t="s">
        <v>131</v>
      </c>
      <c r="B8" s="72">
        <f>'2. Stream Calculations'!F11</f>
        <v>2766.3382915331458</v>
      </c>
    </row>
    <row r="9" spans="1:3" x14ac:dyDescent="0.3">
      <c r="A9" t="s">
        <v>345</v>
      </c>
      <c r="B9" s="72">
        <f>'2. Stream Calculations'!G11</f>
        <v>2505.5899954600518</v>
      </c>
    </row>
    <row r="10" spans="1:3" ht="15" thickBot="1" x14ac:dyDescent="0.35">
      <c r="B10" s="35"/>
    </row>
    <row r="11" spans="1:3" ht="15" thickBot="1" x14ac:dyDescent="0.35">
      <c r="A11" t="s">
        <v>132</v>
      </c>
      <c r="B11" s="73">
        <f>SUM(B4:B9)</f>
        <v>39444.768504925458</v>
      </c>
      <c r="C11" t="s">
        <v>346</v>
      </c>
    </row>
    <row r="12" spans="1:3" x14ac:dyDescent="0.3">
      <c r="A12" t="s">
        <v>362</v>
      </c>
      <c r="B12" s="6">
        <f>B11*'1. ALL INPUT DATA'!B12</f>
        <v>78889537.009850919</v>
      </c>
    </row>
    <row r="14" spans="1:3" x14ac:dyDescent="0.3">
      <c r="A14" t="s">
        <v>347</v>
      </c>
      <c r="B14" s="74">
        <f>'Heat Content Calculations'!H362</f>
        <v>114.02447818334382</v>
      </c>
      <c r="C14" t="s">
        <v>339</v>
      </c>
    </row>
    <row r="16" spans="1:3" x14ac:dyDescent="0.3">
      <c r="A16" t="s">
        <v>360</v>
      </c>
      <c r="B16" s="77">
        <f>('2. Stream Calculations'!D11+'2. Stream Calculations'!E11+'2. Stream Calculations'!F11+'2. Stream Calculations'!G11)*B14</f>
        <v>3647911.6392220235</v>
      </c>
      <c r="C16" t="s">
        <v>361</v>
      </c>
    </row>
    <row r="18" spans="1:2" x14ac:dyDescent="0.3">
      <c r="A18" t="s">
        <v>341</v>
      </c>
      <c r="B18" s="6">
        <f>B16*'1. ALL INPUT DATA'!B6</f>
        <v>17327580.286304612</v>
      </c>
    </row>
    <row r="19" spans="1:2" ht="15" thickBot="1" x14ac:dyDescent="0.35"/>
    <row r="20" spans="1:2" ht="15" thickBot="1" x14ac:dyDescent="0.35">
      <c r="A20" t="s">
        <v>363</v>
      </c>
      <c r="B20" s="19">
        <f>B12-B18</f>
        <v>61561956.723546311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7"/>
  <sheetViews>
    <sheetView workbookViewId="0">
      <selection sqref="A1:C18"/>
    </sheetView>
  </sheetViews>
  <sheetFormatPr defaultRowHeight="14.4" x14ac:dyDescent="0.3"/>
  <cols>
    <col min="1" max="1" width="45" customWidth="1"/>
    <col min="2" max="2" width="20" customWidth="1"/>
    <col min="3" max="3" width="40" customWidth="1"/>
  </cols>
  <sheetData>
    <row r="1" spans="1:3" ht="18" customHeight="1" x14ac:dyDescent="0.3">
      <c r="A1" s="89" t="s">
        <v>133</v>
      </c>
      <c r="B1" s="79"/>
      <c r="C1" s="79"/>
    </row>
    <row r="3" spans="1:3" x14ac:dyDescent="0.3">
      <c r="A3" s="21" t="s">
        <v>3</v>
      </c>
      <c r="B3" s="21" t="s">
        <v>134</v>
      </c>
      <c r="C3" s="21" t="s">
        <v>80</v>
      </c>
    </row>
    <row r="4" spans="1:3" x14ac:dyDescent="0.3">
      <c r="A4" t="s">
        <v>135</v>
      </c>
      <c r="B4" s="17">
        <f>'2. Stream Calculations'!H30</f>
        <v>59005.338867635874</v>
      </c>
    </row>
    <row r="6" spans="1:3" x14ac:dyDescent="0.3">
      <c r="A6" t="s">
        <v>47</v>
      </c>
      <c r="B6" s="9">
        <f>'1. ALL INPUT DATA'!B36</f>
        <v>11</v>
      </c>
    </row>
    <row r="7" spans="1:3" x14ac:dyDescent="0.3">
      <c r="A7" t="s">
        <v>49</v>
      </c>
      <c r="B7" s="9">
        <f>'1. ALL INPUT DATA'!B37</f>
        <v>16</v>
      </c>
    </row>
    <row r="8" spans="1:3" x14ac:dyDescent="0.3">
      <c r="A8" t="s">
        <v>136</v>
      </c>
      <c r="B8" s="10">
        <f>'1. ALL INPUT DATA'!B38/100</f>
        <v>0.95</v>
      </c>
    </row>
    <row r="10" spans="1:3" x14ac:dyDescent="0.3">
      <c r="A10" t="s">
        <v>137</v>
      </c>
      <c r="B10" s="31">
        <f>'1. ALL INPUT DATA'!B36*'1. ALL INPUT DATA'!B8*B8</f>
        <v>83600</v>
      </c>
    </row>
    <row r="11" spans="1:3" x14ac:dyDescent="0.3">
      <c r="A11" t="s">
        <v>138</v>
      </c>
      <c r="B11" s="14">
        <f>'1. ALL INPUT DATA'!B37*'1. ALL INPUT DATA'!B8*B8</f>
        <v>121600</v>
      </c>
    </row>
    <row r="13" spans="1:3" x14ac:dyDescent="0.3">
      <c r="A13" t="s">
        <v>139</v>
      </c>
      <c r="B13" s="14">
        <f>B4-B10</f>
        <v>-24594.661132364126</v>
      </c>
    </row>
    <row r="14" spans="1:3" x14ac:dyDescent="0.3">
      <c r="A14" t="s">
        <v>140</v>
      </c>
      <c r="B14" s="23">
        <f>B4/B10</f>
        <v>0.70580548884731908</v>
      </c>
    </row>
    <row r="15" spans="1:3" x14ac:dyDescent="0.3">
      <c r="A15" t="s">
        <v>141</v>
      </c>
      <c r="B15" s="23">
        <f>B4/B11</f>
        <v>0.48524127358253183</v>
      </c>
    </row>
    <row r="17" spans="1:2" x14ac:dyDescent="0.3">
      <c r="A17" t="s">
        <v>142</v>
      </c>
      <c r="B17" s="19">
        <f>B4*'1. ALL INPUT DATA'!B13</f>
        <v>23602135.54705435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>
      <selection sqref="A1:C8"/>
    </sheetView>
  </sheetViews>
  <sheetFormatPr defaultRowHeight="14.4" x14ac:dyDescent="0.3"/>
  <cols>
    <col min="1" max="1" width="45" customWidth="1"/>
    <col min="2" max="2" width="20" customWidth="1"/>
    <col min="3" max="3" width="40" customWidth="1"/>
  </cols>
  <sheetData>
    <row r="1" spans="1:3" ht="18" customHeight="1" x14ac:dyDescent="0.3">
      <c r="A1" s="89" t="s">
        <v>143</v>
      </c>
      <c r="B1" s="79"/>
      <c r="C1" s="79"/>
    </row>
    <row r="3" spans="1:3" x14ac:dyDescent="0.3">
      <c r="A3" s="21" t="s">
        <v>3</v>
      </c>
      <c r="B3" s="21" t="s">
        <v>123</v>
      </c>
      <c r="C3" s="21" t="s">
        <v>80</v>
      </c>
    </row>
    <row r="4" spans="1:3" x14ac:dyDescent="0.3">
      <c r="A4" t="s">
        <v>144</v>
      </c>
      <c r="B4" s="17">
        <f>'2. Stream Calculations'!H25</f>
        <v>65956.116313563311</v>
      </c>
    </row>
    <row r="5" spans="1:3" x14ac:dyDescent="0.3">
      <c r="A5" t="s">
        <v>145</v>
      </c>
      <c r="B5" s="17">
        <f>'2. Stream Calculations'!H26</f>
        <v>408747.16789891885</v>
      </c>
    </row>
    <row r="7" spans="1:3" x14ac:dyDescent="0.3">
      <c r="A7" t="s">
        <v>146</v>
      </c>
      <c r="B7" s="24">
        <f>B4/B5</f>
        <v>0.16136164723194835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5"/>
  <sheetViews>
    <sheetView workbookViewId="0">
      <selection sqref="A1:E16"/>
    </sheetView>
  </sheetViews>
  <sheetFormatPr defaultRowHeight="14.4" x14ac:dyDescent="0.3"/>
  <cols>
    <col min="1" max="1" width="50" customWidth="1"/>
    <col min="2" max="2" width="20" customWidth="1"/>
    <col min="3" max="3" width="40" customWidth="1"/>
  </cols>
  <sheetData>
    <row r="1" spans="1:3" ht="18" customHeight="1" x14ac:dyDescent="0.3">
      <c r="A1" s="89" t="s">
        <v>147</v>
      </c>
      <c r="B1" s="79"/>
      <c r="C1" s="79"/>
    </row>
    <row r="3" spans="1:3" x14ac:dyDescent="0.3">
      <c r="A3" s="21" t="s">
        <v>3</v>
      </c>
      <c r="B3" s="21" t="s">
        <v>4</v>
      </c>
      <c r="C3" s="21" t="s">
        <v>80</v>
      </c>
    </row>
    <row r="4" spans="1:3" x14ac:dyDescent="0.3">
      <c r="A4" t="s">
        <v>148</v>
      </c>
      <c r="B4" s="14">
        <f>'6. Calc 4 - CO &amp; CO2'!B4*2*'1. ALL INPUT DATA'!B23/'1. ALL INPUT DATA'!B24</f>
        <v>9494.2899313205035</v>
      </c>
      <c r="C4" t="s">
        <v>149</v>
      </c>
    </row>
    <row r="5" spans="1:3" x14ac:dyDescent="0.3">
      <c r="A5" t="s">
        <v>150</v>
      </c>
      <c r="B5" s="14">
        <f>'6. Calc 4 - CO &amp; CO2'!B5*3*'1. ALL INPUT DATA'!B23/'1. ALL INPUT DATA'!B25</f>
        <v>56171.389944391296</v>
      </c>
      <c r="C5" t="s">
        <v>151</v>
      </c>
    </row>
    <row r="6" spans="1:3" x14ac:dyDescent="0.3">
      <c r="A6" t="s">
        <v>152</v>
      </c>
      <c r="B6" s="17">
        <f>B4+B5</f>
        <v>65665.679875711794</v>
      </c>
    </row>
    <row r="8" spans="1:3" x14ac:dyDescent="0.3">
      <c r="A8" s="25" t="s">
        <v>153</v>
      </c>
    </row>
    <row r="9" spans="1:3" x14ac:dyDescent="0.3">
      <c r="A9" t="s">
        <v>154</v>
      </c>
      <c r="B9" s="14">
        <f>'4. Calc 2 - H2 Recovery'!B11</f>
        <v>39444.768504925458</v>
      </c>
    </row>
    <row r="10" spans="1:3" x14ac:dyDescent="0.3">
      <c r="A10" t="s">
        <v>155</v>
      </c>
      <c r="B10" s="14">
        <f>B6-B9</f>
        <v>26220.911370786336</v>
      </c>
    </row>
    <row r="11" spans="1:3" x14ac:dyDescent="0.3">
      <c r="A11" t="s">
        <v>156</v>
      </c>
      <c r="B11" s="26">
        <f>B9/B6</f>
        <v>0.60069078062671755</v>
      </c>
    </row>
    <row r="13" spans="1:3" x14ac:dyDescent="0.3">
      <c r="A13" t="s">
        <v>157</v>
      </c>
      <c r="B13" s="14">
        <f>'6. Calc 4 - CO &amp; CO2'!B4*B11*'1. ALL INPUT DATA'!B26/'1. ALL INPUT DATA'!B24</f>
        <v>45319.534491104947</v>
      </c>
      <c r="C13" t="s">
        <v>158</v>
      </c>
    </row>
    <row r="14" spans="1:3" x14ac:dyDescent="0.3">
      <c r="A14" t="s">
        <v>159</v>
      </c>
      <c r="B14" s="14">
        <f>'6. Calc 4 - CO &amp; CO2'!B5*'7. Calc 5 - Methanol'!B11*'1. ALL INPUT DATA'!B26/'1. ALL INPUT DATA'!B25</f>
        <v>178750.33396654707</v>
      </c>
      <c r="C14" t="s">
        <v>160</v>
      </c>
    </row>
    <row r="15" spans="1:3" x14ac:dyDescent="0.3">
      <c r="A15" t="s">
        <v>161</v>
      </c>
      <c r="B15" s="17">
        <f>B13+B14</f>
        <v>224069.86845765202</v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6"/>
  <sheetViews>
    <sheetView workbookViewId="0">
      <selection activeCell="B24" sqref="B24"/>
    </sheetView>
  </sheetViews>
  <sheetFormatPr defaultRowHeight="14.4" x14ac:dyDescent="0.3"/>
  <cols>
    <col min="1" max="1" width="50" customWidth="1"/>
    <col min="2" max="2" width="25" customWidth="1"/>
    <col min="3" max="3" width="40" customWidth="1"/>
  </cols>
  <sheetData>
    <row r="1" spans="1:3" ht="18" customHeight="1" x14ac:dyDescent="0.3">
      <c r="A1" s="89" t="s">
        <v>162</v>
      </c>
      <c r="B1" s="79"/>
      <c r="C1" s="79"/>
    </row>
    <row r="3" spans="1:3" x14ac:dyDescent="0.3">
      <c r="A3" s="21" t="s">
        <v>163</v>
      </c>
      <c r="B3" s="21" t="s">
        <v>164</v>
      </c>
      <c r="C3" s="21" t="s">
        <v>165</v>
      </c>
    </row>
    <row r="4" spans="1:3" x14ac:dyDescent="0.3">
      <c r="A4" s="28" t="s">
        <v>166</v>
      </c>
    </row>
    <row r="5" spans="1:3" x14ac:dyDescent="0.3">
      <c r="A5" t="s">
        <v>167</v>
      </c>
      <c r="B5" s="6">
        <f>'3. Calc 1 - LPG &amp; C5+'!B22</f>
        <v>76231321.917270005</v>
      </c>
      <c r="C5" t="s">
        <v>168</v>
      </c>
    </row>
    <row r="6" spans="1:3" x14ac:dyDescent="0.3">
      <c r="A6" t="s">
        <v>169</v>
      </c>
      <c r="B6" s="6">
        <f>'5. Calc 3 - C2 Balance'!B17</f>
        <v>23602135.54705435</v>
      </c>
      <c r="C6" t="s">
        <v>170</v>
      </c>
    </row>
    <row r="7" spans="1:3" x14ac:dyDescent="0.3">
      <c r="A7" t="s">
        <v>171</v>
      </c>
      <c r="B7" s="20">
        <f>B5+B6+'3. Calc 1 - LPG &amp; C5+'!B22</f>
        <v>176064779.38159436</v>
      </c>
    </row>
    <row r="8" spans="1:3" x14ac:dyDescent="0.3">
      <c r="A8" t="s">
        <v>172</v>
      </c>
      <c r="B8" s="6">
        <f>'3. Calc 1 - LPG &amp; C5+'!B22</f>
        <v>76231321.917270005</v>
      </c>
    </row>
    <row r="9" spans="1:3" x14ac:dyDescent="0.3">
      <c r="A9" t="s">
        <v>173</v>
      </c>
      <c r="B9" s="19">
        <f>B7-B8</f>
        <v>99833457.464324355</v>
      </c>
      <c r="C9" t="s">
        <v>174</v>
      </c>
    </row>
    <row r="11" spans="1:3" x14ac:dyDescent="0.3">
      <c r="A11" s="28" t="s">
        <v>175</v>
      </c>
    </row>
    <row r="12" spans="1:3" x14ac:dyDescent="0.3">
      <c r="A12" t="s">
        <v>176</v>
      </c>
      <c r="B12" s="19">
        <f>'8. Calc 6 - Blend &amp; MTO'!B21</f>
        <v>96232484.502777845</v>
      </c>
      <c r="C12" t="s">
        <v>177</v>
      </c>
    </row>
    <row r="14" spans="1:3" ht="15.6" customHeight="1" x14ac:dyDescent="0.3">
      <c r="A14" s="29" t="s">
        <v>178</v>
      </c>
    </row>
    <row r="15" spans="1:3" x14ac:dyDescent="0.3">
      <c r="A15" t="s">
        <v>179</v>
      </c>
      <c r="B15" s="20">
        <f>B8+'8. Calc 6 - Blend &amp; MTO'!B20</f>
        <v>76231321.917270005</v>
      </c>
    </row>
    <row r="16" spans="1:3" ht="15.6" customHeight="1" x14ac:dyDescent="0.3">
      <c r="A16" t="s">
        <v>180</v>
      </c>
      <c r="B16" s="30">
        <f>B9+B12</f>
        <v>196065941.9671022</v>
      </c>
      <c r="C16" t="s">
        <v>181</v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sqref="A1:G23"/>
    </sheetView>
  </sheetViews>
  <sheetFormatPr defaultRowHeight="14.4" x14ac:dyDescent="0.3"/>
  <cols>
    <col min="1" max="1" width="45" customWidth="1"/>
    <col min="2" max="2" width="20" customWidth="1"/>
    <col min="3" max="3" width="40" customWidth="1"/>
  </cols>
  <sheetData>
    <row r="1" spans="1:3" ht="18" customHeight="1" x14ac:dyDescent="0.3">
      <c r="A1" s="89" t="s">
        <v>79</v>
      </c>
      <c r="B1" s="79"/>
      <c r="C1" s="79"/>
    </row>
    <row r="3" spans="1:3" x14ac:dyDescent="0.3">
      <c r="A3" s="21" t="s">
        <v>3</v>
      </c>
      <c r="B3" s="21" t="s">
        <v>4</v>
      </c>
      <c r="C3" s="21" t="s">
        <v>80</v>
      </c>
    </row>
    <row r="4" spans="1:3" x14ac:dyDescent="0.3">
      <c r="A4" t="s">
        <v>81</v>
      </c>
      <c r="B4" s="9">
        <f>'1. ALL INPUT DATA'!B35</f>
        <v>1514271</v>
      </c>
    </row>
    <row r="5" spans="1:3" x14ac:dyDescent="0.3">
      <c r="A5" t="s">
        <v>82</v>
      </c>
      <c r="B5" s="14">
        <f>'7. Calc 5 - Methanol'!B15</f>
        <v>224069.86845765202</v>
      </c>
    </row>
    <row r="7" spans="1:3" x14ac:dyDescent="0.3">
      <c r="A7" t="s">
        <v>83</v>
      </c>
      <c r="B7" s="27">
        <f>'1. ALL INPUT DATA'!B32/100</f>
        <v>0.05</v>
      </c>
    </row>
    <row r="8" spans="1:3" x14ac:dyDescent="0.3">
      <c r="A8" t="s">
        <v>84</v>
      </c>
      <c r="B8" s="26">
        <f>(B7*'1. ALL INPUT DATA'!B31)/((B7*'1. ALL INPUT DATA'!B31)+((1-B7)*'1. ALL INPUT DATA'!B30))</f>
        <v>5.2526595744680868E-2</v>
      </c>
      <c r="C8" t="s">
        <v>85</v>
      </c>
    </row>
    <row r="9" spans="1:3" x14ac:dyDescent="0.3">
      <c r="A9" t="s">
        <v>86</v>
      </c>
      <c r="B9" s="17">
        <f>B4*B8</f>
        <v>79539.50066489364</v>
      </c>
    </row>
    <row r="10" spans="1:3" x14ac:dyDescent="0.3">
      <c r="A10" t="s">
        <v>87</v>
      </c>
      <c r="B10" s="17">
        <f>B5-B9</f>
        <v>144530.36779275839</v>
      </c>
    </row>
    <row r="12" spans="1:3" x14ac:dyDescent="0.3">
      <c r="A12" t="s">
        <v>88</v>
      </c>
      <c r="B12" s="14">
        <f>B10*'1. ALL INPUT DATA'!B33/100</f>
        <v>40468.50298197235</v>
      </c>
    </row>
    <row r="13" spans="1:3" x14ac:dyDescent="0.3">
      <c r="A13" t="s">
        <v>89</v>
      </c>
      <c r="B13" s="14">
        <f>B10*'1. ALL INPUT DATA'!B34/100</f>
        <v>60702.754472958521</v>
      </c>
    </row>
    <row r="15" spans="1:3" x14ac:dyDescent="0.3">
      <c r="A15" t="s">
        <v>90</v>
      </c>
      <c r="B15" s="20">
        <f>B9*'1. ALL INPUT DATA'!B17</f>
        <v>35792775.299202137</v>
      </c>
    </row>
    <row r="16" spans="1:3" x14ac:dyDescent="0.3">
      <c r="A16" t="s">
        <v>91</v>
      </c>
      <c r="B16" s="20">
        <f>B12*'1. ALL INPUT DATA'!B14</f>
        <v>16187401.19278894</v>
      </c>
    </row>
    <row r="17" spans="1:2" x14ac:dyDescent="0.3">
      <c r="A17" t="s">
        <v>92</v>
      </c>
      <c r="B17" s="20">
        <f>B13*'1. ALL INPUT DATA'!B15</f>
        <v>44252308.010786764</v>
      </c>
    </row>
    <row r="18" spans="1:2" x14ac:dyDescent="0.3">
      <c r="A18" t="s">
        <v>93</v>
      </c>
      <c r="B18" s="19">
        <f>B15+B16+B17</f>
        <v>96232484.502777845</v>
      </c>
    </row>
    <row r="20" spans="1:2" x14ac:dyDescent="0.3">
      <c r="A20" t="s">
        <v>94</v>
      </c>
      <c r="B20" s="20">
        <f>'2. Stream Calculations'!E42+'2. Stream Calculations'!F42</f>
        <v>0</v>
      </c>
    </row>
    <row r="21" spans="1:2" x14ac:dyDescent="0.3">
      <c r="A21" t="s">
        <v>95</v>
      </c>
      <c r="B21" s="19">
        <f>B18-B20</f>
        <v>96232484.502777845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mol% to wt% Conversions</vt:lpstr>
      <vt:lpstr>Heat Content Calculations</vt:lpstr>
      <vt:lpstr>1. ALL INPUT DATA</vt:lpstr>
      <vt:lpstr>2. Stream Calculations</vt:lpstr>
      <vt:lpstr>3. Calc 1 - LPG &amp; C5+</vt:lpstr>
      <vt:lpstr>4. Calc 2 - H2 Recovery</vt:lpstr>
      <vt:lpstr>5. Calc 3 - C2 Balance</vt:lpstr>
      <vt:lpstr>6. Calc 4 - CO &amp; CO2</vt:lpstr>
      <vt:lpstr>7. Calc 5 - Methanol</vt:lpstr>
      <vt:lpstr>9. Final Summary</vt:lpstr>
      <vt:lpstr>8. Calc 6 - Blend &amp; MTO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Sabri</cp:lastModifiedBy>
  <dcterms:created xsi:type="dcterms:W3CDTF">2025-11-24T21:41:23Z</dcterms:created>
  <dcterms:modified xsi:type="dcterms:W3CDTF">2025-11-27T08:47:52Z</dcterms:modified>
</cp:coreProperties>
</file>